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ESBYOPIA IOL SOFTWARE\"/>
    </mc:Choice>
  </mc:AlternateContent>
  <xr:revisionPtr revIDLastSave="0" documentId="13_ncr:1_{F2BFF28A-60B2-4FF6-A6EF-1EB8CAB467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PUT DATA" sheetId="1" r:id="rId1"/>
    <sheet name="REFRACTIVE STABILLITY" sheetId="13" r:id="rId2"/>
    <sheet name="PANOPTIX" sheetId="6" r:id="rId3"/>
    <sheet name="GEMETRIC" sheetId="7" r:id="rId4"/>
    <sheet name="ATLISA TRI" sheetId="8" r:id="rId5"/>
    <sheet name="DYSPHOTOPSIA SCORES" sheetId="12" r:id="rId6"/>
    <sheet name="VIVITY" sheetId="11" r:id="rId7"/>
    <sheet name="SPHERICAL MONOFOCAL" sheetId="2" r:id="rId8"/>
    <sheet name="ZERO ASPHERIC MONOFOCAL" sheetId="3" r:id="rId9"/>
    <sheet name="NEGATIVE ASPHERIC MONOFOCAL" sheetId="4" r:id="rId10"/>
    <sheet name="EYHANCE" sheetId="5" r:id="rId11"/>
    <sheet name="RAYNER EMV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K3" i="13"/>
  <c r="K4" i="13"/>
  <c r="K8" i="13"/>
  <c r="K9" i="13"/>
  <c r="K10" i="13"/>
  <c r="K2" i="13"/>
  <c r="J3" i="13"/>
  <c r="J4" i="13"/>
  <c r="J6" i="13"/>
  <c r="J8" i="13"/>
  <c r="L8" i="13" s="1"/>
  <c r="J9" i="13"/>
  <c r="L9" i="13" s="1"/>
  <c r="J10" i="13"/>
  <c r="L10" i="13" s="1"/>
  <c r="J2" i="13"/>
  <c r="H2" i="13"/>
  <c r="E2" i="13"/>
  <c r="K5" i="13" s="1"/>
  <c r="D2" i="13"/>
  <c r="J5" i="13" s="1"/>
  <c r="E34" i="12" a="1"/>
  <c r="E34" i="12" s="1"/>
  <c r="W43" i="11"/>
  <c r="V43" i="11"/>
  <c r="W42" i="11"/>
  <c r="V42" i="11"/>
  <c r="W41" i="11"/>
  <c r="V41" i="11"/>
  <c r="W40" i="11"/>
  <c r="V40" i="11"/>
  <c r="W39" i="11"/>
  <c r="V39" i="11"/>
  <c r="W43" i="9"/>
  <c r="V43" i="9"/>
  <c r="W42" i="9"/>
  <c r="V42" i="9"/>
  <c r="W41" i="9"/>
  <c r="V41" i="9"/>
  <c r="W40" i="9"/>
  <c r="V40" i="9"/>
  <c r="W39" i="9"/>
  <c r="V39" i="9"/>
  <c r="W43" i="5"/>
  <c r="V43" i="5"/>
  <c r="W42" i="5"/>
  <c r="V42" i="5"/>
  <c r="W41" i="5"/>
  <c r="V41" i="5"/>
  <c r="W40" i="5"/>
  <c r="V40" i="5"/>
  <c r="W39" i="5"/>
  <c r="V39" i="5"/>
  <c r="W43" i="8"/>
  <c r="V43" i="8"/>
  <c r="W42" i="8"/>
  <c r="V42" i="8"/>
  <c r="W41" i="8"/>
  <c r="V41" i="8"/>
  <c r="W40" i="8"/>
  <c r="V40" i="8"/>
  <c r="W39" i="8"/>
  <c r="V39" i="8"/>
  <c r="W43" i="7"/>
  <c r="V43" i="7"/>
  <c r="W42" i="7"/>
  <c r="V42" i="7"/>
  <c r="W41" i="7"/>
  <c r="V41" i="7"/>
  <c r="W40" i="7"/>
  <c r="V40" i="7"/>
  <c r="W39" i="7"/>
  <c r="V39" i="7"/>
  <c r="W43" i="6"/>
  <c r="V43" i="6"/>
  <c r="W42" i="6"/>
  <c r="V42" i="6"/>
  <c r="W41" i="6"/>
  <c r="V41" i="6"/>
  <c r="W40" i="6"/>
  <c r="V40" i="6"/>
  <c r="W39" i="6"/>
  <c r="V39" i="6"/>
  <c r="W43" i="4"/>
  <c r="V43" i="4"/>
  <c r="W42" i="4"/>
  <c r="V42" i="4"/>
  <c r="W41" i="4"/>
  <c r="V41" i="4"/>
  <c r="W40" i="4"/>
  <c r="V40" i="4"/>
  <c r="W39" i="4"/>
  <c r="V39" i="4"/>
  <c r="W43" i="3"/>
  <c r="V43" i="3"/>
  <c r="W42" i="3"/>
  <c r="V42" i="3"/>
  <c r="W41" i="3"/>
  <c r="V41" i="3"/>
  <c r="W40" i="3"/>
  <c r="V40" i="3"/>
  <c r="W39" i="3"/>
  <c r="V39" i="3"/>
  <c r="W40" i="2"/>
  <c r="W41" i="2"/>
  <c r="W42" i="2"/>
  <c r="W43" i="2"/>
  <c r="W39" i="2"/>
  <c r="V40" i="2"/>
  <c r="V41" i="2"/>
  <c r="V42" i="2"/>
  <c r="V43" i="2"/>
  <c r="V39" i="2"/>
  <c r="H2" i="12"/>
  <c r="C19" i="12" s="1"/>
  <c r="F2" i="12"/>
  <c r="E2" i="12"/>
  <c r="D2" i="12"/>
  <c r="C2" i="12"/>
  <c r="A2" i="12"/>
  <c r="S24" i="11"/>
  <c r="S23" i="11"/>
  <c r="U24" i="11" s="1"/>
  <c r="S6" i="11"/>
  <c r="W5" i="11"/>
  <c r="S5" i="11"/>
  <c r="W4" i="11"/>
  <c r="S4" i="11"/>
  <c r="S8" i="11" s="1"/>
  <c r="P5" i="5"/>
  <c r="O5" i="5"/>
  <c r="L5" i="5"/>
  <c r="K5" i="5"/>
  <c r="J5" i="5"/>
  <c r="I5" i="5"/>
  <c r="H5" i="5"/>
  <c r="G5" i="5"/>
  <c r="F5" i="5"/>
  <c r="E5" i="5"/>
  <c r="D5" i="5"/>
  <c r="S24" i="9"/>
  <c r="S23" i="9"/>
  <c r="U24" i="9" s="1"/>
  <c r="S6" i="9"/>
  <c r="W5" i="9"/>
  <c r="S5" i="9"/>
  <c r="S9" i="9" s="1"/>
  <c r="W4" i="9"/>
  <c r="S4" i="9"/>
  <c r="S8" i="9" s="1"/>
  <c r="S24" i="8"/>
  <c r="S23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S6" i="8"/>
  <c r="P6" i="8"/>
  <c r="O6" i="8"/>
  <c r="N6" i="8"/>
  <c r="M6" i="8"/>
  <c r="L6" i="8"/>
  <c r="K6" i="8"/>
  <c r="J6" i="8"/>
  <c r="I6" i="8"/>
  <c r="H6" i="8"/>
  <c r="G6" i="8"/>
  <c r="F6" i="8"/>
  <c r="E6" i="8"/>
  <c r="D6" i="8"/>
  <c r="W5" i="8"/>
  <c r="S5" i="8"/>
  <c r="S9" i="8" s="1"/>
  <c r="W4" i="8"/>
  <c r="S4" i="8"/>
  <c r="B3" i="8"/>
  <c r="S24" i="7"/>
  <c r="S23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S6" i="7"/>
  <c r="P6" i="7"/>
  <c r="O6" i="7"/>
  <c r="N6" i="7"/>
  <c r="M6" i="7"/>
  <c r="L6" i="7"/>
  <c r="K6" i="7"/>
  <c r="J6" i="7"/>
  <c r="I6" i="7"/>
  <c r="H6" i="7"/>
  <c r="G6" i="7"/>
  <c r="F6" i="7"/>
  <c r="E6" i="7"/>
  <c r="D6" i="7"/>
  <c r="W5" i="7"/>
  <c r="S5" i="7"/>
  <c r="S9" i="7" s="1"/>
  <c r="W4" i="7"/>
  <c r="S4" i="7"/>
  <c r="B3" i="7"/>
  <c r="S24" i="6"/>
  <c r="S23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S6" i="6"/>
  <c r="P6" i="6"/>
  <c r="O6" i="6"/>
  <c r="N6" i="6"/>
  <c r="M6" i="6"/>
  <c r="L6" i="6"/>
  <c r="K6" i="6"/>
  <c r="J6" i="6"/>
  <c r="I6" i="6"/>
  <c r="H6" i="6"/>
  <c r="G6" i="6"/>
  <c r="F6" i="6"/>
  <c r="E6" i="6"/>
  <c r="D6" i="6"/>
  <c r="W5" i="6"/>
  <c r="S5" i="6"/>
  <c r="S9" i="6" s="1"/>
  <c r="W4" i="6"/>
  <c r="S4" i="6"/>
  <c r="B3" i="6"/>
  <c r="S24" i="5"/>
  <c r="S23" i="5"/>
  <c r="W12" i="5" s="1"/>
  <c r="S6" i="5"/>
  <c r="S10" i="5" s="1"/>
  <c r="W5" i="5"/>
  <c r="S5" i="5"/>
  <c r="S9" i="5" s="1"/>
  <c r="W4" i="5"/>
  <c r="S4" i="5"/>
  <c r="S8" i="5" s="1"/>
  <c r="S24" i="4"/>
  <c r="S23" i="4"/>
  <c r="U24" i="4" s="1"/>
  <c r="S6" i="4"/>
  <c r="S10" i="4" s="1"/>
  <c r="W5" i="4"/>
  <c r="S5" i="4"/>
  <c r="S9" i="4" s="1"/>
  <c r="W4" i="4"/>
  <c r="S4" i="4"/>
  <c r="S8" i="4" s="1"/>
  <c r="S24" i="3"/>
  <c r="S23" i="3"/>
  <c r="U24" i="3" s="1"/>
  <c r="S6" i="3"/>
  <c r="S10" i="3" s="1"/>
  <c r="W5" i="3"/>
  <c r="S5" i="3"/>
  <c r="S9" i="3" s="1"/>
  <c r="W4" i="3"/>
  <c r="S4" i="3"/>
  <c r="S8" i="3" s="1"/>
  <c r="S24" i="2"/>
  <c r="S23" i="2"/>
  <c r="U24" i="2" s="1"/>
  <c r="S6" i="2"/>
  <c r="S10" i="2" s="1"/>
  <c r="W5" i="2"/>
  <c r="S5" i="2"/>
  <c r="S9" i="2" s="1"/>
  <c r="W4" i="2"/>
  <c r="S4" i="2"/>
  <c r="S8" i="2" s="1"/>
  <c r="L2" i="13" l="1"/>
  <c r="D30" i="1" s="1"/>
  <c r="K6" i="13"/>
  <c r="L6" i="13" s="1"/>
  <c r="C20" i="1" s="1"/>
  <c r="K7" i="13"/>
  <c r="J7" i="13"/>
  <c r="L7" i="13" s="1"/>
  <c r="D20" i="1" s="1"/>
  <c r="L5" i="13"/>
  <c r="B20" i="1" s="1"/>
  <c r="L4" i="13"/>
  <c r="L3" i="13"/>
  <c r="C20" i="12"/>
  <c r="D20" i="12" s="1"/>
  <c r="C21" i="12"/>
  <c r="D21" i="12" s="1"/>
  <c r="D19" i="12"/>
  <c r="D27" i="12"/>
  <c r="D26" i="12"/>
  <c r="D25" i="12"/>
  <c r="D24" i="12"/>
  <c r="D23" i="12"/>
  <c r="D22" i="12"/>
  <c r="W12" i="11"/>
  <c r="G2" i="12"/>
  <c r="S13" i="9"/>
  <c r="S13" i="5"/>
  <c r="V12" i="5" s="1"/>
  <c r="W48" i="5" s="1"/>
  <c r="S13" i="11"/>
  <c r="S14" i="11"/>
  <c r="V21" i="11" s="1"/>
  <c r="V24" i="11" s="1"/>
  <c r="W47" i="11" s="1"/>
  <c r="S9" i="11"/>
  <c r="S10" i="11"/>
  <c r="W12" i="9"/>
  <c r="S14" i="9"/>
  <c r="V21" i="9" s="1"/>
  <c r="V24" i="9" s="1"/>
  <c r="S10" i="9"/>
  <c r="S10" i="7"/>
  <c r="S13" i="7" s="1"/>
  <c r="W16" i="7" s="1"/>
  <c r="W17" i="7" s="1"/>
  <c r="V24" i="7" s="1"/>
  <c r="S10" i="8"/>
  <c r="S13" i="8" s="1"/>
  <c r="W16" i="8" s="1"/>
  <c r="W17" i="8" s="1"/>
  <c r="V24" i="8" s="1"/>
  <c r="S14" i="5"/>
  <c r="V21" i="5" s="1"/>
  <c r="S10" i="6"/>
  <c r="S13" i="6" s="1"/>
  <c r="W16" i="6" s="1"/>
  <c r="W17" i="6" s="1"/>
  <c r="V24" i="6" s="1"/>
  <c r="S12" i="6"/>
  <c r="W13" i="6" s="1"/>
  <c r="W14" i="6" s="1"/>
  <c r="V29" i="6" s="1"/>
  <c r="S12" i="7"/>
  <c r="W13" i="7" s="1"/>
  <c r="W14" i="7" s="1"/>
  <c r="W48" i="7" s="1"/>
  <c r="C25" i="1" s="1"/>
  <c r="S13" i="3"/>
  <c r="V12" i="3" s="1"/>
  <c r="V15" i="3" s="1"/>
  <c r="S14" i="3"/>
  <c r="V21" i="3" s="1"/>
  <c r="V24" i="3" s="1"/>
  <c r="V28" i="3" s="1"/>
  <c r="S13" i="2"/>
  <c r="V12" i="2" s="1"/>
  <c r="V15" i="2" s="1"/>
  <c r="S14" i="2"/>
  <c r="V21" i="2" s="1"/>
  <c r="V24" i="2" s="1"/>
  <c r="V28" i="2" s="1"/>
  <c r="U24" i="5"/>
  <c r="S13" i="4"/>
  <c r="S14" i="4"/>
  <c r="V21" i="4" s="1"/>
  <c r="V24" i="4" s="1"/>
  <c r="V28" i="4" s="1"/>
  <c r="S12" i="8"/>
  <c r="W13" i="8" s="1"/>
  <c r="W14" i="8" s="1"/>
  <c r="W48" i="8" s="1"/>
  <c r="D25" i="1" s="1"/>
  <c r="C30" i="1" l="1"/>
  <c r="B30" i="1"/>
  <c r="D10" i="1"/>
  <c r="D18" i="1"/>
  <c r="W28" i="11"/>
  <c r="D19" i="1" s="1"/>
  <c r="C10" i="1"/>
  <c r="B10" i="1"/>
  <c r="V12" i="11"/>
  <c r="V15" i="11" s="1"/>
  <c r="E21" i="12"/>
  <c r="V31" i="2" s="1"/>
  <c r="E20" i="12"/>
  <c r="V31" i="3" s="1"/>
  <c r="E25" i="12"/>
  <c r="V32" i="7" s="1"/>
  <c r="E23" i="12"/>
  <c r="V31" i="5" s="1"/>
  <c r="E24" i="12"/>
  <c r="V37" i="11" s="1"/>
  <c r="E26" i="12"/>
  <c r="V32" i="8" s="1"/>
  <c r="E27" i="12"/>
  <c r="V32" i="6" s="1"/>
  <c r="E19" i="12"/>
  <c r="V31" i="4" s="1"/>
  <c r="B15" i="1"/>
  <c r="V18" i="5"/>
  <c r="W48" i="6"/>
  <c r="B25" i="1" s="1"/>
  <c r="W48" i="2"/>
  <c r="B5" i="1" s="1"/>
  <c r="W48" i="3"/>
  <c r="V18" i="3" s="1"/>
  <c r="C6" i="1" s="1"/>
  <c r="E22" i="12"/>
  <c r="W47" i="2"/>
  <c r="W47" i="4"/>
  <c r="W47" i="3"/>
  <c r="V28" i="9"/>
  <c r="W47" i="9"/>
  <c r="W28" i="9" s="1"/>
  <c r="W47" i="7"/>
  <c r="W47" i="6"/>
  <c r="V27" i="6" s="1"/>
  <c r="W47" i="8"/>
  <c r="V27" i="8" s="1"/>
  <c r="V21" i="7"/>
  <c r="V21" i="8"/>
  <c r="V28" i="11"/>
  <c r="V24" i="5"/>
  <c r="W47" i="5" s="1"/>
  <c r="W28" i="5" s="1"/>
  <c r="V12" i="9"/>
  <c r="V29" i="7"/>
  <c r="V15" i="5"/>
  <c r="V29" i="8"/>
  <c r="V12" i="4"/>
  <c r="B8" i="1" l="1"/>
  <c r="W28" i="2"/>
  <c r="B9" i="1" s="1"/>
  <c r="C28" i="1"/>
  <c r="V27" i="7"/>
  <c r="C8" i="1"/>
  <c r="W28" i="3"/>
  <c r="C9" i="1" s="1"/>
  <c r="F23" i="12"/>
  <c r="B21" i="1" s="1"/>
  <c r="D8" i="1"/>
  <c r="W28" i="4"/>
  <c r="D9" i="1" s="1"/>
  <c r="F21" i="12"/>
  <c r="B11" i="1" s="1"/>
  <c r="B12" i="1" s="1"/>
  <c r="W48" i="11"/>
  <c r="D15" i="1" s="1"/>
  <c r="F20" i="12"/>
  <c r="C11" i="1" s="1"/>
  <c r="F19" i="12"/>
  <c r="D11" i="1" s="1"/>
  <c r="F26" i="12"/>
  <c r="D31" i="1" s="1"/>
  <c r="C5" i="1"/>
  <c r="V21" i="6"/>
  <c r="B26" i="1" s="1"/>
  <c r="F25" i="12"/>
  <c r="C31" i="1" s="1"/>
  <c r="C32" i="1" s="1"/>
  <c r="F24" i="12"/>
  <c r="D21" i="1" s="1"/>
  <c r="F27" i="12"/>
  <c r="B31" i="1" s="1"/>
  <c r="V31" i="9"/>
  <c r="F22" i="12"/>
  <c r="C21" i="1" s="1"/>
  <c r="V18" i="2"/>
  <c r="B6" i="1" s="1"/>
  <c r="V15" i="4"/>
  <c r="W48" i="4"/>
  <c r="V15" i="9"/>
  <c r="W48" i="9"/>
  <c r="C29" i="1"/>
  <c r="D28" i="1"/>
  <c r="B28" i="1"/>
  <c r="B29" i="1"/>
  <c r="B18" i="1"/>
  <c r="B22" i="1" s="1"/>
  <c r="B19" i="1"/>
  <c r="C18" i="1"/>
  <c r="C19" i="1"/>
  <c r="V28" i="5"/>
  <c r="C26" i="1"/>
  <c r="B16" i="1"/>
  <c r="D29" i="1"/>
  <c r="D26" i="1"/>
  <c r="C22" i="1" l="1"/>
  <c r="V18" i="11"/>
  <c r="D16" i="1" s="1"/>
  <c r="C12" i="1"/>
  <c r="D32" i="1"/>
  <c r="B32" i="1"/>
  <c r="V18" i="4"/>
  <c r="D6" i="1" s="1"/>
  <c r="D5" i="1"/>
  <c r="D12" i="1" s="1"/>
  <c r="C15" i="1"/>
  <c r="V18" i="9"/>
  <c r="C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<sst xmlns="http://schemas.openxmlformats.org/spreadsheetml/2006/main" count="514" uniqueCount="126">
  <si>
    <t>AGE</t>
  </si>
  <si>
    <t>PHOTOPIC PUPIL</t>
  </si>
  <si>
    <t>SCOTOPIC PUPIL</t>
  </si>
  <si>
    <t>ANGLE ALPHA</t>
  </si>
  <si>
    <t>ANGLE KAPPA</t>
  </si>
  <si>
    <t>CORNEAL SPHERICAL ABERRATION 6mm (Z40)</t>
  </si>
  <si>
    <t>CORNEAL VERTICAL COMA 6mm</t>
  </si>
  <si>
    <t>CORNEAL HORIZONTAL COMA 6mm</t>
  </si>
  <si>
    <t>OCULAR PATHOLOGIES</t>
  </si>
  <si>
    <t>GRADE</t>
  </si>
  <si>
    <t>MALE</t>
  </si>
  <si>
    <t>FEMALE</t>
  </si>
  <si>
    <t>MONOFOCAL LENSES</t>
  </si>
  <si>
    <t>SPHERICAL MONOFOCAL IOL</t>
  </si>
  <si>
    <t>ZERO ASPHERIC MONOFOCAL IOL</t>
  </si>
  <si>
    <t>NEGATIVE ASPHERIC MONOFOCAL IOL</t>
  </si>
  <si>
    <t>PREDICTED DEPTH OF FOCUS (DIOPTRES)</t>
  </si>
  <si>
    <t>DIABETIC RETINOPATHY</t>
  </si>
  <si>
    <t>PREDICTED MTF max</t>
  </si>
  <si>
    <t>DRY EYE DISEASE</t>
  </si>
  <si>
    <t>CORNEAL ENDOTHELIAL DISEASE</t>
  </si>
  <si>
    <t>PREDICTED DEPTH OF FOCUS GRADE</t>
  </si>
  <si>
    <t>MACULAR PATHOLOGY</t>
  </si>
  <si>
    <t>GLAUCOMA</t>
  </si>
  <si>
    <t>PREDICTED VISUAL QUALITY GRADE</t>
  </si>
  <si>
    <t>PREDICTED PATIENT SATISFACTION SCORE</t>
  </si>
  <si>
    <t>EYHANCE</t>
  </si>
  <si>
    <t>DIFFRACTIVE LENSES</t>
  </si>
  <si>
    <t>PANOPTIX</t>
  </si>
  <si>
    <t>GEMETRIC</t>
  </si>
  <si>
    <t>ATLISA TRI</t>
  </si>
  <si>
    <t>DOF</t>
  </si>
  <si>
    <t>CORNEAL SA 6MM</t>
  </si>
  <si>
    <t>Spherical IOL Lookup</t>
  </si>
  <si>
    <t>&lt;/=2</t>
  </si>
  <si>
    <t>User inputs</t>
  </si>
  <si>
    <t>2.1 - 3</t>
  </si>
  <si>
    <t>Corneal SA 6 mm</t>
  </si>
  <si>
    <t>CORNEAL VC 6mm</t>
  </si>
  <si>
    <t>3.1 - 3.5</t>
  </si>
  <si>
    <t>Photopic pupil (mm)</t>
  </si>
  <si>
    <t>CORNEAL HC 6mm</t>
  </si>
  <si>
    <t>3.6 - 4.5</t>
  </si>
  <si>
    <t>Scotopic pupil (mm)</t>
  </si>
  <si>
    <t>&gt;4.5</t>
  </si>
  <si>
    <t>Rounded SA used</t>
  </si>
  <si>
    <t>Used for nearest 0.1-D lookup</t>
  </si>
  <si>
    <t>DOF row</t>
  </si>
  <si>
    <t>1=&lt;=2, 2=2.1-3, 3=3.1-3.5, 4=3.6-4.5, 5=&gt;4.5</t>
  </si>
  <si>
    <t>MTFa MAX</t>
  </si>
  <si>
    <t>MTFa row</t>
  </si>
  <si>
    <t>1=&lt;3, 2=3.1-4.5, 3=4.6-5.5, 4=&gt;5.5</t>
  </si>
  <si>
    <t>FINAL DEPTH OF FOCUS</t>
  </si>
  <si>
    <t>&lt;/=3</t>
  </si>
  <si>
    <t>Outputs</t>
  </si>
  <si>
    <t>3.1 - 4.5</t>
  </si>
  <si>
    <t>DOF lookup</t>
  </si>
  <si>
    <t>Photopic pupil + corneal SA</t>
  </si>
  <si>
    <t>4.6 - 5.5</t>
  </si>
  <si>
    <t>MTFa MAX lookup</t>
  </si>
  <si>
    <t>Scotopic pupil + corneal SA</t>
  </si>
  <si>
    <t>PREDICTED OPTICAL UNAIDED NEAR VISION SCORE</t>
  </si>
  <si>
    <t>&gt;5.5</t>
  </si>
  <si>
    <t>How to use</t>
  </si>
  <si>
    <t>1. Enter corneal SA at 6 mm, photopic pupil, and scotopic pupil.</t>
  </si>
  <si>
    <t>DEPTH OF FOCUS GRADING</t>
  </si>
  <si>
    <t>2. DOF is taken from the upper table; MTFa MAX is taken from the lower table.</t>
  </si>
  <si>
    <t>3. Corneal SA input is rounded to the nearest 0.1 D step in the lookup grid.</t>
  </si>
  <si>
    <t>MTF SCORE WITH EFFECT OF COMA</t>
  </si>
  <si>
    <t>ANGLE PENALTY</t>
  </si>
  <si>
    <t>MTF SCORE WITH EFFECT OF ANGLES</t>
  </si>
  <si>
    <t>PREDICTED OPTICAL VISUAL QUALITY SCORE</t>
  </si>
  <si>
    <t>VISUAL QUALITY GRADING</t>
  </si>
  <si>
    <t>PREDICTED DYSPHOTOPSIA SCORE</t>
  </si>
  <si>
    <t>1=&lt;=3, 2=3.1-4.4, 3=&gt;=4.5</t>
  </si>
  <si>
    <t>DEPTH OF FOCUS</t>
  </si>
  <si>
    <t>DOF ANG ALPHA PENALTY FACTOR</t>
  </si>
  <si>
    <t>R DOF</t>
  </si>
  <si>
    <t>DOF PUPIL FACTOR</t>
  </si>
  <si>
    <t>MTF PUPIL FACTOR</t>
  </si>
  <si>
    <t>MTF</t>
  </si>
  <si>
    <t>DOF AFTER COMA</t>
  </si>
  <si>
    <t>DOF AFTER ANGLES</t>
  </si>
  <si>
    <t>R MTF</t>
  </si>
  <si>
    <t>MTF AFTER COMA</t>
  </si>
  <si>
    <t>MTF AFTER ANGLES</t>
  </si>
  <si>
    <t>DOF GRADING</t>
  </si>
  <si>
    <t>PREDICTED VISUAL QUALITY SCORE</t>
  </si>
  <si>
    <t>NEAR VISION SCORE</t>
  </si>
  <si>
    <t>RAYNER EMV</t>
  </si>
  <si>
    <t>EXTENDED MONOFOCAL and EDOF LENSES</t>
  </si>
  <si>
    <t>VIVITY</t>
  </si>
  <si>
    <t>NEG ASP</t>
  </si>
  <si>
    <t>ZERO ASP</t>
  </si>
  <si>
    <t>SPH</t>
  </si>
  <si>
    <t>EMV</t>
  </si>
  <si>
    <t>GEME</t>
  </si>
  <si>
    <t>ATLISA</t>
  </si>
  <si>
    <t>PANOP</t>
  </si>
  <si>
    <t>&lt;=3</t>
  </si>
  <si>
    <t>3.1-4.5</t>
  </si>
  <si>
    <t>pupil size</t>
  </si>
  <si>
    <t>VC</t>
  </si>
  <si>
    <t>HC</t>
  </si>
  <si>
    <t>ALPHA</t>
  </si>
  <si>
    <t>KAPPA</t>
  </si>
  <si>
    <t>BASIC SCORE</t>
  </si>
  <si>
    <t>FINAL SCORE AFTER ANGLE PENALTY</t>
  </si>
  <si>
    <t>PREDICTED DYSPHOTOPSIA SCORE ( /10)</t>
  </si>
  <si>
    <t>CORNEAL SA</t>
  </si>
  <si>
    <t>total HOA</t>
  </si>
  <si>
    <t>pupil modifier</t>
  </si>
  <si>
    <t>pathology</t>
  </si>
  <si>
    <t>grade</t>
  </si>
  <si>
    <t>dysphotopsia</t>
  </si>
  <si>
    <t>PATHOLOGY ADJUSTED MTF</t>
  </si>
  <si>
    <t>PATHOLOGY ADJUSTED DOF</t>
  </si>
  <si>
    <t>final score</t>
  </si>
  <si>
    <t>PH P</t>
  </si>
  <si>
    <t>SC P</t>
  </si>
  <si>
    <t>PUPIL SIZE</t>
  </si>
  <si>
    <t>REFRACTIVE EFFECT</t>
  </si>
  <si>
    <t>0 AND LESS</t>
  </si>
  <si>
    <t>0.1 TO 0.3</t>
  </si>
  <si>
    <t>0.4 AND ABOVE</t>
  </si>
  <si>
    <t>REFRACTIVE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</si>
</sst>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</font>
    <font>
      <sz val="11"/>
      <color rgb="FF000000"/>
      <name val="Aptos Narrow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002060"/>
      <name val="Calibri"/>
    </font>
    <font>
      <b/>
      <sz val="11"/>
      <color rgb="FF0070C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2060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3F3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FFFF00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10" borderId="1" xfId="0" applyFill="1" applyBorder="1"/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9" fontId="7" fillId="11" borderId="1" xfId="0" applyNumberFormat="1" applyFont="1" applyFill="1" applyBorder="1" applyAlignment="1">
      <alignment horizontal="center" vertical="center"/>
    </xf>
    <xf numFmtId="9" fontId="7" fillId="10" borderId="1" xfId="0" applyNumberFormat="1" applyFont="1" applyFill="1" applyBorder="1" applyAlignment="1">
      <alignment horizontal="center" vertical="center"/>
    </xf>
    <xf numFmtId="9" fontId="7" fillId="12" borderId="1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0" fillId="0" borderId="6" xfId="0" applyFont="1" applyBorder="1" applyAlignment="1">
      <alignment horizontal="right" wrapText="1"/>
    </xf>
    <xf numFmtId="0" fontId="10" fillId="0" borderId="7" xfId="0" applyFont="1" applyBorder="1" applyAlignment="1">
      <alignment wrapText="1"/>
    </xf>
    <xf numFmtId="0" fontId="10" fillId="0" borderId="7" xfId="0" applyFont="1" applyBorder="1" applyAlignment="1">
      <alignment horizontal="right" wrapText="1"/>
    </xf>
    <xf numFmtId="0" fontId="7" fillId="0" borderId="0" xfId="0" applyFont="1"/>
    <xf numFmtId="0" fontId="11" fillId="11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79" zoomScaleNormal="110" workbookViewId="0">
      <selection activeCell="D23" sqref="D23"/>
    </sheetView>
  </sheetViews>
  <sheetFormatPr defaultColWidth="9" defaultRowHeight="14.25" x14ac:dyDescent="0.45"/>
  <cols>
    <col min="1" max="1" width="39.86328125" style="7" customWidth="1"/>
    <col min="2" max="2" width="81.46484375" style="7" bestFit="1" customWidth="1"/>
    <col min="3" max="3" width="51.86328125" style="7" bestFit="1" customWidth="1"/>
    <col min="4" max="4" width="48.59765625" style="7" bestFit="1" customWidth="1"/>
    <col min="5" max="6" width="11.86328125" style="7" customWidth="1"/>
    <col min="7" max="7" width="42" style="7" customWidth="1"/>
    <col min="8" max="9" width="30.3984375" style="7" customWidth="1"/>
    <col min="10" max="10" width="32" style="7" customWidth="1"/>
    <col min="11" max="12" width="9" style="7"/>
    <col min="13" max="13" width="7.3984375" style="7" customWidth="1"/>
    <col min="14" max="14" width="0.265625" style="7" hidden="1" customWidth="1"/>
    <col min="15" max="16384" width="9" style="7"/>
  </cols>
  <sheetData>
    <row r="1" spans="1:14" x14ac:dyDescent="0.45">
      <c r="A1" s="13" t="s">
        <v>0</v>
      </c>
      <c r="B1" s="6"/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4" x14ac:dyDescent="0.45">
      <c r="A2" s="13">
        <v>67</v>
      </c>
      <c r="B2" s="6"/>
      <c r="C2" s="13">
        <v>1.8</v>
      </c>
      <c r="D2" s="13">
        <v>3.5</v>
      </c>
      <c r="E2" s="13">
        <v>0.1</v>
      </c>
      <c r="F2" s="13">
        <v>0.25</v>
      </c>
      <c r="G2" s="13">
        <v>0.35</v>
      </c>
      <c r="H2" s="13">
        <v>0.06</v>
      </c>
      <c r="I2" s="14">
        <v>0.05</v>
      </c>
      <c r="J2" s="13" t="s">
        <v>20</v>
      </c>
      <c r="K2" s="13">
        <v>1</v>
      </c>
      <c r="N2" s="7" t="s">
        <v>10</v>
      </c>
    </row>
    <row r="3" spans="1:14" x14ac:dyDescent="0.45">
      <c r="J3" s="13" t="s">
        <v>19</v>
      </c>
      <c r="K3" s="13">
        <v>1</v>
      </c>
      <c r="N3" s="7" t="s">
        <v>11</v>
      </c>
    </row>
    <row r="4" spans="1:14" x14ac:dyDescent="0.45">
      <c r="A4" s="19" t="s">
        <v>12</v>
      </c>
      <c r="B4" s="20" t="s">
        <v>13</v>
      </c>
      <c r="C4" s="20" t="s">
        <v>14</v>
      </c>
      <c r="D4" s="20" t="s">
        <v>15</v>
      </c>
      <c r="J4" s="13"/>
      <c r="K4" s="13"/>
    </row>
    <row r="5" spans="1:14" x14ac:dyDescent="0.45">
      <c r="A5" s="24" t="s">
        <v>16</v>
      </c>
      <c r="B5" s="25">
        <f>'SPHERICAL MONOFOCAL'!W48</f>
        <v>1.39</v>
      </c>
      <c r="C5" s="25">
        <f>'ZERO ASPHERIC MONOFOCAL'!W48</f>
        <v>1.39</v>
      </c>
      <c r="D5" s="25">
        <f>'NEGATIVE ASPHERIC MONOFOCAL'!W48</f>
        <v>1.39</v>
      </c>
      <c r="J5" s="13"/>
      <c r="K5" s="13"/>
      <c r="N5" s="7" t="s">
        <v>17</v>
      </c>
    </row>
    <row r="6" spans="1:14" x14ac:dyDescent="0.45">
      <c r="A6" s="24" t="s">
        <v>21</v>
      </c>
      <c r="B6" s="26" t="str">
        <f>'SPHERICAL MONOFOCAL'!V18</f>
        <v>Functional intermediate, limited near</v>
      </c>
      <c r="C6" s="26" t="str">
        <f>'ZERO ASPHERIC MONOFOCAL'!V18</f>
        <v>Functional intermediate, limited near</v>
      </c>
      <c r="D6" s="26" t="str">
        <f>'NEGATIVE ASPHERIC MONOFOCAL'!V18</f>
        <v>Functional intermediate, limited near</v>
      </c>
      <c r="J6" s="13"/>
      <c r="K6" s="13"/>
      <c r="N6" s="7" t="s">
        <v>19</v>
      </c>
    </row>
    <row r="7" spans="1:14" x14ac:dyDescent="0.45">
      <c r="A7" s="26"/>
      <c r="B7" s="26"/>
      <c r="C7" s="26"/>
      <c r="D7" s="26"/>
      <c r="N7" s="7" t="s">
        <v>20</v>
      </c>
    </row>
    <row r="8" spans="1:14" x14ac:dyDescent="0.45">
      <c r="A8" s="24" t="s">
        <v>18</v>
      </c>
      <c r="B8" s="25">
        <f>'SPHERICAL MONOFOCAL'!W47/10</f>
        <v>0.52</v>
      </c>
      <c r="C8" s="25">
        <f>'ZERO ASPHERIC MONOFOCAL'!W47/10</f>
        <v>0.61</v>
      </c>
      <c r="D8" s="25">
        <f>'NEGATIVE ASPHERIC MONOFOCAL'!W47/10</f>
        <v>0.65</v>
      </c>
      <c r="N8" s="7" t="s">
        <v>22</v>
      </c>
    </row>
    <row r="9" spans="1:14" x14ac:dyDescent="0.45">
      <c r="A9" s="24" t="s">
        <v>24</v>
      </c>
      <c r="B9" s="26" t="str">
        <f>'SPHERICAL MONOFOCAL'!W28</f>
        <v>Excellent visual quality in normal lighting; mild reduction may be noticed in very low-light conditions</v>
      </c>
      <c r="C9" s="26" t="str">
        <f>'ZERO ASPHERIC MONOFOCAL'!W28</f>
        <v>excellent visual quality across all lighting conditions</v>
      </c>
      <c r="D9" s="26" t="str">
        <f>'NEGATIVE ASPHERIC MONOFOCAL'!W28</f>
        <v>excellent visual quality across all lighting conditions</v>
      </c>
      <c r="N9" s="7" t="s">
        <v>23</v>
      </c>
    </row>
    <row r="10" spans="1:14" x14ac:dyDescent="0.45">
      <c r="A10" s="24" t="s">
        <v>125</v>
      </c>
      <c r="B10" s="45" t="str">
        <f>'REFRACTIVE STABILLITY'!L2</f>
        <v>No clinically significant pupil-dependent refractive shift expected</v>
      </c>
      <c r="C10" s="45" t="str">
        <f>'REFRACTIVE STABILLITY'!L2</f>
        <v>No clinically significant pupil-dependent refractive shift expected</v>
      </c>
      <c r="D10" s="45" t="str">
        <f>'REFRACTIVE STABILLITY'!L2</f>
        <v>No clinically significant pupil-dependent refractive shift expected</v>
      </c>
    </row>
    <row r="11" spans="1:14" x14ac:dyDescent="0.45">
      <c r="A11" s="24" t="s">
        <v>108</v>
      </c>
      <c r="B11" s="26">
        <f>'DYSPHOTOPSIA SCORES'!F21</f>
        <v>1.6</v>
      </c>
      <c r="C11" s="26">
        <f>'DYSPHOTOPSIA SCORES'!F20</f>
        <v>1.6</v>
      </c>
      <c r="D11" s="26">
        <f>'DYSPHOTOPSIA SCORES'!F19</f>
        <v>1.2</v>
      </c>
    </row>
    <row r="12" spans="1:14" x14ac:dyDescent="0.45">
      <c r="A12" s="24" t="s">
        <v>25</v>
      </c>
      <c r="B12" s="36">
        <f>ROUND(MIN(0.78,MAX(0,(0.45*IF(B8&gt;=0.5,1,IF(B8&gt;=0.4,0.85,IF(B8&gt;=0.3,0.65,0.35))))+(0.2*MIN(B5/1.75,1))+(0.2*(1-B11/10))+(0.15*IF(A2&gt;55,1,0.95)))*(1-0.2*MIN(SUM($K$2:$K$6)/9,1))),2)</f>
        <v>0.78</v>
      </c>
      <c r="C12" s="36">
        <f>ROUND(MIN(0.78,MAX(0,(0.45*IF(C8&gt;=0.5,1,IF(C8&gt;=0.4,0.85,IF(C8&gt;=0.3,0.65,0.35))))+(0.2*MIN(C5/1.75,1))+(0.2*(1-C11/10))+(0.15*IF(A2&gt;55,1,0.95)))*(1-0.2*MIN(SUM($K$2:$K$6)/9,1))),2)</f>
        <v>0.78</v>
      </c>
      <c r="D12" s="36">
        <f>ROUND(MIN(0.78,MAX(0,(0.45*IF(D8&gt;=0.5,1,IF(D8&gt;=0.4,0.85,IF(D8&gt;=0.3,0.65,0.35))))+(0.2*MIN(D5/1.75,1))+(0.2*(1-D11/10))+(0.15*IF(A2&gt;55,1,0.95)))*(1-0.2*MIN(SUM($K$2:$K$6)/9,1))),2)</f>
        <v>0.78</v>
      </c>
      <c r="N12" s="7">
        <v>1</v>
      </c>
    </row>
    <row r="13" spans="1:14" x14ac:dyDescent="0.45">
      <c r="N13" s="7">
        <v>2</v>
      </c>
    </row>
    <row r="14" spans="1:14" x14ac:dyDescent="0.45">
      <c r="A14" s="21" t="s">
        <v>90</v>
      </c>
      <c r="B14" s="33" t="s">
        <v>26</v>
      </c>
      <c r="C14" s="33" t="s">
        <v>89</v>
      </c>
      <c r="D14" s="33" t="s">
        <v>91</v>
      </c>
      <c r="N14" s="7">
        <v>3</v>
      </c>
    </row>
    <row r="15" spans="1:14" x14ac:dyDescent="0.45">
      <c r="A15" s="27" t="s">
        <v>16</v>
      </c>
      <c r="B15" s="28">
        <f>EYHANCE!W48</f>
        <v>1.83</v>
      </c>
      <c r="C15" s="28">
        <f>'RAYNER EMV'!W48</f>
        <v>1.66</v>
      </c>
      <c r="D15" s="29">
        <f>VIVITY!W48</f>
        <v>2.2599999999999998</v>
      </c>
    </row>
    <row r="16" spans="1:14" x14ac:dyDescent="0.45">
      <c r="A16" s="27" t="s">
        <v>21</v>
      </c>
      <c r="B16" s="29" t="str">
        <f>EYHANCE!V18</f>
        <v>Good intermediate and near</v>
      </c>
      <c r="C16" s="29" t="str">
        <f>'RAYNER EMV'!V18</f>
        <v>Functional intermediate, limited near</v>
      </c>
      <c r="D16" s="29" t="str">
        <f>VIVITY!V18</f>
        <v>Excellent near performance</v>
      </c>
    </row>
    <row r="17" spans="1:4" x14ac:dyDescent="0.45">
      <c r="A17" s="29"/>
      <c r="B17" s="29"/>
      <c r="C17" s="29"/>
      <c r="D17" s="29"/>
    </row>
    <row r="18" spans="1:4" x14ac:dyDescent="0.45">
      <c r="A18" s="27" t="s">
        <v>18</v>
      </c>
      <c r="B18" s="28">
        <f>EYHANCE!W47/10</f>
        <v>0.55999999999999994</v>
      </c>
      <c r="C18" s="28">
        <f>'RAYNER EMV'!W47/10</f>
        <v>0.49000000000000005</v>
      </c>
      <c r="D18" s="29">
        <f>VIVITY!W47/10</f>
        <v>0.3</v>
      </c>
    </row>
    <row r="19" spans="1:4" x14ac:dyDescent="0.45">
      <c r="A19" s="27" t="s">
        <v>24</v>
      </c>
      <c r="B19" s="29" t="str">
        <f>EYHANCE!W28</f>
        <v>Excellent visual quality in normal lighting; mild reduction may be noticed in very low-light conditions</v>
      </c>
      <c r="C19" s="29" t="str">
        <f>'RAYNER EMV'!W28</f>
        <v>Very good visual quality in bright lighting; noticeable decline in low-light environments</v>
      </c>
      <c r="D19" s="29" t="str">
        <f>VIVITY!W28</f>
        <v>Functional visual quality in good lighting; significant deterioration expected in dim light</v>
      </c>
    </row>
    <row r="20" spans="1:4" x14ac:dyDescent="0.45">
      <c r="A20" s="27" t="s">
        <v>125</v>
      </c>
      <c r="B20" s="46" t="str">
        <f>'REFRACTIVE STABILLITY'!L5</f>
        <v>Beware of myopic shift for distance in bright light / small pupil conditions</v>
      </c>
      <c r="C20" s="46" t="str">
        <f>'REFRACTIVE STABILLITY'!L6</f>
        <v>Possible hyperopic shift for distance in bright light / small pupil conditions</v>
      </c>
      <c r="D20" s="46" t="str">
        <f>'REFRACTIVE STABILLITY'!L7</f>
        <v>No clinically significant pupil-dependent refractive shift expected</v>
      </c>
    </row>
    <row r="21" spans="1:4" x14ac:dyDescent="0.45">
      <c r="A21" s="27" t="s">
        <v>108</v>
      </c>
      <c r="B21" s="29">
        <f>'DYSPHOTOPSIA SCORES'!F23</f>
        <v>3.2</v>
      </c>
      <c r="C21" s="29">
        <f>'DYSPHOTOPSIA SCORES'!F22</f>
        <v>2.9</v>
      </c>
      <c r="D21" s="29">
        <f>'DYSPHOTOPSIA SCORES'!F24</f>
        <v>4.5</v>
      </c>
    </row>
    <row r="22" spans="1:4" x14ac:dyDescent="0.45">
      <c r="A22" s="27" t="s">
        <v>25</v>
      </c>
      <c r="B22" s="37">
        <f>ROUND(MIN(0.95,MAX(0,((0.22*IF(B18&gt;=0.5,1,IF(B18&gt;=0.4,0.85,IF(B18&gt;=0.3,0.65,0.3))))+(0.48*MIN(B15/2.5,1))+(0.18*(1-B21/10))+(0.12*IF(B15&gt;=1.8,1,IF(B15&gt;=1.5,0.7,0.3))))*(1-0.35*MIN(SUM($K$2:$K$6)/9,1))*IF(ISNUMBER(SEARCH("No clinically significant pupil-dependent refractive shift expected",B20)),1,IF(ISNUMBER(SEARCH("Beware of myopic shift for distance in bright light / small pupil conditions",B20)),0.92,IF(ISNUMBER(SEARCH("Possible hyperopic shift for distance in bright light / small pupil conditions",B20)),0.92,IF(ISNUMBER(SEARCH("Chances of low-light myopia / night myopia likely",B20)),0.88,IF(ISNUMBER(SEARCH("Possible hyperopic shift in dim light / larger pupil conditions",B20)),0.89,IF(ISNUMBER(SEARCH("Consistent myopic shift tendency across lighting conditions",B20)),0.84,IF(ISNUMBER(SEARCH("Consistent hyperopic shift tendency across lighting conditions",B20)),0.84,IF(ISNUMBER(SEARCH("Lighting-dependent refractive behavior likely",B20)),0.8,1)))))))))),2)</f>
        <v>0.69</v>
      </c>
      <c r="C22" s="37">
        <f>ROUND(MIN(0.95,MAX(0,((0.22*IF(C18&gt;=0.5,1,IF(C18&gt;=0.4,0.85,IF(C18&gt;=0.3,0.65,0.3))))+(0.48*MIN(C15/2.5,1))+(0.18*(1-C21/10))+(0.12*IF(C15&gt;=1.8,1,IF(C15&gt;=1.5,0.7,0.3))))*(1-0.35*MIN(SUM($K$2:$K$6)/9,1))*IF(ISNUMBER(SEARCH("No clinically significant pupil-dependent refractive shift expected",C20)),1,IF(ISNUMBER(SEARCH("Beware of myopic shift for distance in bright light / small pupil conditions",C20)),0.92,IF(ISNUMBER(SEARCH("Possible hyperopic shift for distance in bright light / small pupil conditions",C20)),0.92,IF(ISNUMBER(SEARCH("Chances of low-light myopia / night myopia likely",C20)),0.88,IF(ISNUMBER(SEARCH("Possible hyperopic shift in dim light / larger pupil conditions",C20)),0.89,IF(ISNUMBER(SEARCH("Consistent myopic shift tendency across lighting conditions",C20)),0.84,IF(ISNUMBER(SEARCH("Consistent hyperopic shift tendency across lighting conditions",C20)),0.84,IF(ISNUMBER(SEARCH("Lighting-dependent refractive behavior likely",C20)),0.8,1)))))))))),2)</f>
        <v>0.61</v>
      </c>
      <c r="D22" s="37">
        <f>ROUND(MIN(0.95,MAX(0,((0.22*IF(D18&gt;=0.5,1,IF(D18&gt;=0.4,0.85,IF(D18&gt;=0.3,0.65,0.3))))+(0.48*MIN(D15/2.5,1))+(0.18*(1-D21/10))+(0.12*IF(D15&gt;=1.8,1,IF(D15&gt;=1.5,0.7,0.3))))*(1-0.35*MIN(SUM($K$2:$K$6)/9,1))*IF(ISNUMBER(SEARCH("No clinically significant pupil-dependent refractive shift expected",D20)),1,IF(ISNUMBER(SEARCH("Beware of myopic shift for distance in bright light / small pupil conditions",D20)),0.92,IF(ISNUMBER(SEARCH("Possible hyperopic shift for distance in bright light / small pupil conditions",D20)),0.92,IF(ISNUMBER(SEARCH("Chances of low-light myopia / night myopia likely",D20)),0.88,IF(ISNUMBER(SEARCH("Possible hyperopic shift in dim light / larger pupil conditions",D20)),0.89,IF(ISNUMBER(SEARCH("Consistent myopic shift tendency across lighting conditions",D20)),0.84,IF(ISNUMBER(SEARCH("Consistent hyperopic shift tendency across lighting conditions",D20)),0.84,IF(ISNUMBER(SEARCH("Lighting-dependent refractive behavior likely",D20)),0.8,1)))))))))),2)</f>
        <v>0.73</v>
      </c>
    </row>
    <row r="24" spans="1:4" x14ac:dyDescent="0.45">
      <c r="A24" s="22" t="s">
        <v>27</v>
      </c>
      <c r="B24" s="23" t="s">
        <v>28</v>
      </c>
      <c r="C24" s="23" t="s">
        <v>29</v>
      </c>
      <c r="D24" s="23" t="s">
        <v>30</v>
      </c>
    </row>
    <row r="25" spans="1:4" x14ac:dyDescent="0.45">
      <c r="A25" s="30" t="s">
        <v>16</v>
      </c>
      <c r="B25" s="31">
        <f>PANOPTIX!W48</f>
        <v>1.95</v>
      </c>
      <c r="C25" s="31">
        <f>GEMETRIC!W48</f>
        <v>1.61</v>
      </c>
      <c r="D25" s="31">
        <f>'ATLISA TRI'!W48</f>
        <v>1.69</v>
      </c>
    </row>
    <row r="26" spans="1:4" x14ac:dyDescent="0.45">
      <c r="A26" s="30" t="s">
        <v>21</v>
      </c>
      <c r="B26" s="32" t="str">
        <f>PANOPTIX!V21</f>
        <v>Good intermediate and near</v>
      </c>
      <c r="C26" s="32" t="str">
        <f>GEMETRIC!V21</f>
        <v>Functional intermediate, limited near</v>
      </c>
      <c r="D26" s="32" t="str">
        <f>'ATLISA TRI'!V21</f>
        <v>Functional intermediate, limited near</v>
      </c>
    </row>
    <row r="27" spans="1:4" x14ac:dyDescent="0.45">
      <c r="A27" s="32"/>
      <c r="B27" s="32"/>
      <c r="C27" s="32"/>
      <c r="D27" s="32"/>
    </row>
    <row r="28" spans="1:4" x14ac:dyDescent="0.45">
      <c r="A28" s="30" t="s">
        <v>18</v>
      </c>
      <c r="B28" s="31">
        <f>PANOPTIX!W47/10</f>
        <v>0.45</v>
      </c>
      <c r="C28" s="31">
        <f>GEMETRIC!W47/10</f>
        <v>0.44000000000000006</v>
      </c>
      <c r="D28" s="31">
        <f>'ATLISA TRI'!W47/10</f>
        <v>0.47000000000000003</v>
      </c>
    </row>
    <row r="29" spans="1:4" x14ac:dyDescent="0.45">
      <c r="A29" s="30" t="s">
        <v>24</v>
      </c>
      <c r="B29" s="32" t="str">
        <f>PANOPTIX!V27</f>
        <v>Very good visual quality in bright lighting; noticeable decline in low-light environments</v>
      </c>
      <c r="C29" s="32" t="str">
        <f>GEMETRIC!V27</f>
        <v>Very good visual quality in bright lighting; noticeable decline in low-light environments</v>
      </c>
      <c r="D29" s="32" t="str">
        <f>'ATLISA TRI'!V27</f>
        <v>Very good visual quality in bright lighting; noticeable decline in low-light environments</v>
      </c>
    </row>
    <row r="30" spans="1:4" x14ac:dyDescent="0.45">
      <c r="A30" s="30" t="s">
        <v>125</v>
      </c>
      <c r="B30" s="47" t="str">
        <f>'REFRACTIVE STABILLITY'!L2</f>
        <v>No clinically significant pupil-dependent refractive shift expected</v>
      </c>
      <c r="C30" s="47" t="str">
        <f>'REFRACTIVE STABILLITY'!L2</f>
        <v>No clinically significant pupil-dependent refractive shift expected</v>
      </c>
      <c r="D30" s="47" t="str">
        <f>'REFRACTIVE STABILLITY'!L2</f>
        <v>No clinically significant pupil-dependent refractive shift expected</v>
      </c>
    </row>
    <row r="31" spans="1:4" x14ac:dyDescent="0.45">
      <c r="A31" s="30" t="s">
        <v>108</v>
      </c>
      <c r="B31" s="32">
        <f>'DYSPHOTOPSIA SCORES'!F27</f>
        <v>6.4</v>
      </c>
      <c r="C31" s="32">
        <f>'DYSPHOTOPSIA SCORES'!F25</f>
        <v>5.8</v>
      </c>
      <c r="D31" s="32">
        <f>'DYSPHOTOPSIA SCORES'!F26</f>
        <v>6.2</v>
      </c>
    </row>
    <row r="32" spans="1:4" x14ac:dyDescent="0.45">
      <c r="A32" s="30" t="s">
        <v>25</v>
      </c>
      <c r="B32" s="38">
        <f>ROUND(MIN(0.95,MAX(0,((0.22*IF(B28&gt;=0.5,1,IF(B28&gt;=0.4,0.85,IF(B28&gt;=0.3,0.65,0.3))))+(0.48*MIN(B25/2.5,1))+(0.18*(1-B31/10))+(0.12*IF(B25&gt;=1.8,1,IF(B25&gt;=1.5,0.7,0.3))))*(1-0.35*MIN(SUM($K$2:$K$6)/9,1)))),2)</f>
        <v>0.69</v>
      </c>
      <c r="C32" s="38">
        <f>ROUND(MIN(0.95,MAX(0,((0.22*IF(C28&gt;=0.5,1,IF(C28&gt;=0.4,0.85,IF(C28&gt;=0.3,0.65,0.3))))+(0.48*MIN(C25/2.5,1))+(0.18*(1-C31/10))+(0.12*IF(C25&gt;=1.8,1,IF(C25&gt;=1.5,0.7,0.3))))*(1-0.35*MIN(SUM($K$2:$K$6)/9,1)))),2)</f>
        <v>0.6</v>
      </c>
      <c r="D32" s="38">
        <f>ROUND(MIN(0.95,MAX(0,((0.22*IF(D28&gt;=0.5,1,IF(D28&gt;=0.4,0.85,IF(D28&gt;=0.3,0.65,0.3))))+(0.48*MIN(D25/2.5,1))+(0.18*(1-D31/10))+(0.12*IF(D25&gt;=1.8,1,IF(D25&gt;=1.5,0.7,0.3))))*(1-0.35*MIN(SUM($K$2:$K$6)/9,1)))),2)</f>
        <v>0.61</v>
      </c>
    </row>
  </sheetData>
  <dataValidations count="3">
    <dataValidation type="list" allowBlank="1" showInputMessage="1" showErrorMessage="1" sqref="B2" xr:uid="{00000000-0002-0000-0000-000000000000}">
      <formula1>$N$2:$N$3</formula1>
    </dataValidation>
    <dataValidation type="list" allowBlank="1" showInputMessage="1" showErrorMessage="1" sqref="J2 J3:J6" xr:uid="{00000000-0002-0000-0000-000001000000}">
      <formula1>$N$5:$N$9</formula1>
    </dataValidation>
    <dataValidation type="list" allowBlank="1" showInputMessage="1" showErrorMessage="1" sqref="K2 K3:K6" xr:uid="{00000000-0002-0000-0000-000002000000}">
      <formula1>$N$12:$N$14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4FE3-05BC-410D-A218-B4FF58751DD3}">
  <dimension ref="B1:T21"/>
  <sheetViews>
    <sheetView topLeftCell="D1" workbookViewId="0">
      <selection activeCell="L16" sqref="L16"/>
    </sheetView>
  </sheetViews>
  <sheetFormatPr defaultRowHeight="14.25" x14ac:dyDescent="0.45"/>
  <cols>
    <col min="2" max="2" width="35.3984375" bestFit="1" customWidth="1"/>
    <col min="3" max="3" width="30" customWidth="1"/>
    <col min="8" max="8" width="12" bestFit="1" customWidth="1"/>
    <col min="12" max="12" width="60.73046875" bestFit="1" customWidth="1"/>
  </cols>
  <sheetData>
    <row r="1" spans="2:20" ht="14.65" thickBot="1" x14ac:dyDescent="0.5">
      <c r="D1" t="s">
        <v>118</v>
      </c>
      <c r="E1" t="s">
        <v>119</v>
      </c>
      <c r="H1" s="44" t="s">
        <v>109</v>
      </c>
    </row>
    <row r="2" spans="2:20" ht="26.65" thickBot="1" x14ac:dyDescent="0.5">
      <c r="B2" s="20" t="s">
        <v>13</v>
      </c>
      <c r="D2">
        <f>'INPUT DATA'!C2</f>
        <v>1.8</v>
      </c>
      <c r="E2">
        <f>'INPUT DATA'!D2</f>
        <v>3.5</v>
      </c>
      <c r="H2">
        <f>'INPUT DATA'!G2</f>
        <v>0.35</v>
      </c>
      <c r="J2">
        <f>IF(OR(B2=$B$2,B2=$B$3,B2=$B$4,B2=$B$8,B2=$B$9,B2=$B$10),0,
IF(B2=$B$5,INDEX($R$4:$T$7,MATCH(IF($D$2&lt;2.5,2,IF($D$2&lt;3.5,3,IF($D$2&lt;4.5,4,5))),$O$4:$O$7,0),MATCH(IF($H$2&lt;=0,"0 AND LESS",IF($H$2&lt;0.4,"0.1 TO 0.3","0.4 AND ABOVE")),$R$3:$T$3,0)),
IF(B2=$B$6,INDEX($R$11:$T$14,MATCH(IF($D$2&lt;2.5,2,IF($D$2&lt;3.5,3,IF($D$2&lt;4.5,4,5))),$O$11:$O$14,0),MATCH(IF($H$2&lt;=0,"0 AND LESS",IF($H$2&lt;0.4,"0.1 TO 0.3","0.4 AND ABOVE")),$R$10:$T$10,0)),
IF(B2=$B$7,INDEX($R$18:$T$21,MATCH(IF($D$2&lt;2.5,2,IF($D$2&lt;3.5,3,IF($D$2&lt;4.5,4,5))),$O$18:$O$21,0),MATCH(IF($H$2&lt;=0,"0 AND LESS",IF($H$2&lt;0.4,"0.1 TO 0.3","0.4 AND ABOVE")),$R$17:$T$17,0)),0))))</f>
        <v>0</v>
      </c>
      <c r="K2">
        <f>IF(OR(B2=$B$2,B2=$B$3,B2=$B$4,B2=$B$8,B2=$B$9,B2=$B$10),0,
IF(B2=$B$5,INDEX($R$4:$T$7,MATCH(IF($E$2&lt;2.5,2,IF($E$2&lt;3.5,3,IF($E$2&lt;4.5,4,5))),$O$4:$O$7,0),MATCH(IF($H$2&lt;=0,"0 AND LESS",IF($H$2&lt;0.4,"0.1 TO 0.3","0.4 AND ABOVE")),$R$3:$T$3,0)),
IF(B2=$B$6,INDEX($R$11:$T$14,MATCH(IF($E$2&lt;2.5,2,IF($E$2&lt;3.5,3,IF($E$2&lt;4.5,4,5))),$O$11:$O$14,0),MATCH(IF($H$2&lt;=0,"0 AND LESS",IF($H$2&lt;0.4,"0.1 TO 0.3","0.4 AND ABOVE")),$R$10:$T$10,0)),
IF(B2=$B$7,INDEX($R$18:$T$21,MATCH(IF($E$2&lt;2.5,2,IF($E$2&lt;3.5,3,IF($E$2&lt;4.5,4,5))),$O$18:$O$21,0),MATCH(IF($H$2&lt;=0,"0 AND LESS",IF($H$2&lt;0.4,"0.1 TO 0.3","0.4 AND ABOVE")),$R$17:$T$17,0)),0))))</f>
        <v>0</v>
      </c>
      <c r="L2" t="str">
        <f>IF(AND(ABS(J2)&lt;0.5,ABS(K2)&lt;0.5),
"No clinically significant pupil-dependent refractive shift expected",
IF(AND(J2&lt;=-0.5,ABS(K2)&lt;0.5),
"Beware of myopic shift for distance in bright light / small pupil conditions",
IF(AND(J2&gt;=0.5,ABS(K2)&lt;0.5),
"Possible hyperopic shift for distance in bright light / small pupil conditions",
IF(AND(ABS(J2)&lt;0.5,K2&lt;=-0.5),
"Chances of low-light myopia / night myopia likely",
IF(AND(ABS(J2)&lt;0.5,K2&gt;=0.5),
"Possible hyperopic shift in dim light / larger pupil conditions",
IF(AND(J2&lt;=-0.5,K2&lt;=-0.5),
"Consistent myopic shift tendency across lighting conditions",
IF(AND(J2&gt;=0.5,K2&gt;=0.5),
"Consistent hyperopic shift tendency across lighting conditions",
IF(AND(J2&lt;=-0.5,K2&gt;=0.5),
"Lighting-dependent refractive behavior likely, with myopic tendency in bright light and hyperopic tendency in dim light",
IF(AND(J2&gt;=0.5,K2&lt;=-0.5),
"Lighting-dependent refractive behavior likely, with hyperopic tendency in bright light and night myopia in dim light",
"No clinically significant pupil-dependent refractive shift expected")))))))))</f>
        <v>No clinically significant pupil-dependent refractive shift expected</v>
      </c>
      <c r="N2" s="39" t="s">
        <v>26</v>
      </c>
      <c r="O2" s="39"/>
      <c r="P2" s="39"/>
      <c r="Q2" s="39"/>
      <c r="R2" s="39" t="s">
        <v>109</v>
      </c>
      <c r="S2" s="39"/>
      <c r="T2" s="39"/>
    </row>
    <row r="3" spans="2:20" ht="39.4" thickBot="1" x14ac:dyDescent="0.5">
      <c r="B3" s="20" t="s">
        <v>14</v>
      </c>
      <c r="J3">
        <f t="shared" ref="J3:J10" si="0">IF(OR(B3=$B$2,B3=$B$3,B3=$B$4,B3=$B$8,B3=$B$9,B3=$B$10),0,
IF(B3=$B$5,INDEX($R$4:$T$7,MATCH(IF($D$2&lt;2.5,2,IF($D$2&lt;3.5,3,IF($D$2&lt;4.5,4,5))),$O$4:$O$7,0),MATCH(IF($H$2&lt;=0,"0 AND LESS",IF($H$2&lt;0.4,"0.1 TO 0.3","0.4 AND ABOVE")),$R$3:$T$3,0)),
IF(B3=$B$6,INDEX($R$11:$T$14,MATCH(IF($D$2&lt;2.5,2,IF($D$2&lt;3.5,3,IF($D$2&lt;4.5,4,5))),$O$11:$O$14,0),MATCH(IF($H$2&lt;=0,"0 AND LESS",IF($H$2&lt;0.4,"0.1 TO 0.3","0.4 AND ABOVE")),$R$10:$T$10,0)),
IF(B3=$B$7,INDEX($R$18:$T$21,MATCH(IF($D$2&lt;2.5,2,IF($D$2&lt;3.5,3,IF($D$2&lt;4.5,4,5))),$O$18:$O$21,0),MATCH(IF($H$2&lt;=0,"0 AND LESS",IF($H$2&lt;0.4,"0.1 TO 0.3","0.4 AND ABOVE")),$R$17:$T$17,0)),0))))</f>
        <v>0</v>
      </c>
      <c r="K3">
        <f t="shared" ref="K3:K10" si="1">IF(OR(B3=$B$2,B3=$B$3,B3=$B$4,B3=$B$8,B3=$B$9,B3=$B$10),0,
IF(B3=$B$5,INDEX($R$4:$T$7,MATCH(IF($E$2&lt;2.5,2,IF($E$2&lt;3.5,3,IF($E$2&lt;4.5,4,5))),$O$4:$O$7,0),MATCH(IF($H$2&lt;=0,"0 AND LESS",IF($H$2&lt;0.4,"0.1 TO 0.3","0.4 AND ABOVE")),$R$3:$T$3,0)),
IF(B3=$B$6,INDEX($R$11:$T$14,MATCH(IF($E$2&lt;2.5,2,IF($E$2&lt;3.5,3,IF($E$2&lt;4.5,4,5))),$O$11:$O$14,0),MATCH(IF($H$2&lt;=0,"0 AND LESS",IF($H$2&lt;0.4,"0.1 TO 0.3","0.4 AND ABOVE")),$R$10:$T$10,0)),
IF(B3=$B$7,INDEX($R$18:$T$21,MATCH(IF($E$2&lt;2.5,2,IF($E$2&lt;3.5,3,IF($E$2&lt;4.5,4,5))),$O$18:$O$21,0),MATCH(IF($H$2&lt;=0,"0 AND LESS",IF($H$2&lt;0.4,"0.1 TO 0.3","0.4 AND ABOVE")),$R$17:$T$17,0)),0))))</f>
        <v>0</v>
      </c>
      <c r="L3" t="str">
        <f t="shared" ref="L3:L10" si="2">IF(AND(ABS(J3)&lt;0.5,ABS(K3)&lt;0.5),
"No clinically significant pupil-dependent refractive shift expected",
IF(AND(J3&lt;=-0.5,ABS(K3)&lt;0.5),
"Beware of myopic shift for distance in bright light / small pupil conditions",
IF(AND(J3&gt;=0.5,ABS(K3)&lt;0.5),
"Possible hyperopic shift for distance in bright light / small pupil conditions",
IF(AND(ABS(J3)&lt;0.5,K3&lt;=-0.5),
"Chances of low-light myopia / night myopia likely",
IF(AND(ABS(J3)&lt;0.5,K3&gt;=0.5),
"Possible hyperopic shift in dim light / larger pupil conditions",
IF(AND(J3&lt;=-0.5,K3&lt;=-0.5),
"Consistent myopic shift tendency across lighting conditions",
IF(AND(J3&gt;=0.5,K3&gt;=0.5),
"Consistent hyperopic shift tendency across lighting conditions",
IF(AND(J3&lt;=-0.5,K3&gt;=0.5),
"Lighting-dependent refractive behavior likely, with myopic tendency in bright light and hyperopic tendency in dim light",
IF(AND(J3&gt;=0.5,K3&lt;=-0.5),
"Lighting-dependent refractive behavior likely, with hyperopic tendency in bright light and night myopia in dim light",
"No clinically significant pupil-dependent refractive shift expected")))))))))</f>
        <v>No clinically significant pupil-dependent refractive shift expected</v>
      </c>
      <c r="N3" s="39"/>
      <c r="O3" s="39" t="s">
        <v>120</v>
      </c>
      <c r="P3" s="40" t="s">
        <v>121</v>
      </c>
      <c r="Q3" s="40"/>
      <c r="R3" s="40" t="s">
        <v>122</v>
      </c>
      <c r="S3" s="40" t="s">
        <v>123</v>
      </c>
      <c r="T3" s="40" t="s">
        <v>124</v>
      </c>
    </row>
    <row r="4" spans="2:20" ht="14.65" thickBot="1" x14ac:dyDescent="0.5">
      <c r="B4" s="20" t="s">
        <v>15</v>
      </c>
      <c r="J4">
        <f t="shared" si="0"/>
        <v>0</v>
      </c>
      <c r="K4">
        <f t="shared" si="1"/>
        <v>0</v>
      </c>
      <c r="L4" t="str">
        <f t="shared" si="2"/>
        <v>No clinically significant pupil-dependent refractive shift expected</v>
      </c>
      <c r="N4" s="39"/>
      <c r="O4" s="41">
        <v>2</v>
      </c>
      <c r="P4" s="42"/>
      <c r="Q4" s="42"/>
      <c r="R4" s="43">
        <v>-0.5</v>
      </c>
      <c r="S4" s="43">
        <v>-0.75</v>
      </c>
      <c r="T4" s="43">
        <v>-0.75</v>
      </c>
    </row>
    <row r="5" spans="2:20" ht="14.65" thickBot="1" x14ac:dyDescent="0.5">
      <c r="B5" s="44" t="s">
        <v>26</v>
      </c>
      <c r="J5">
        <f t="shared" si="0"/>
        <v>-0.75</v>
      </c>
      <c r="K5">
        <f t="shared" si="1"/>
        <v>0</v>
      </c>
      <c r="L5" t="str">
        <f t="shared" si="2"/>
        <v>Beware of myopic shift for distance in bright light / small pupil conditions</v>
      </c>
      <c r="N5" s="39"/>
      <c r="O5" s="41">
        <v>3</v>
      </c>
      <c r="P5" s="42"/>
      <c r="Q5" s="42"/>
      <c r="R5" s="43">
        <v>0</v>
      </c>
      <c r="S5" s="43">
        <v>-0.25</v>
      </c>
      <c r="T5" s="43">
        <v>-0.5</v>
      </c>
    </row>
    <row r="6" spans="2:20" ht="14.65" thickBot="1" x14ac:dyDescent="0.5">
      <c r="B6" s="33" t="s">
        <v>89</v>
      </c>
      <c r="J6">
        <f t="shared" si="0"/>
        <v>0.5</v>
      </c>
      <c r="K6">
        <f t="shared" si="1"/>
        <v>0</v>
      </c>
      <c r="L6" t="str">
        <f t="shared" si="2"/>
        <v>Possible hyperopic shift for distance in bright light / small pupil conditions</v>
      </c>
      <c r="N6" s="39"/>
      <c r="O6" s="41">
        <v>4</v>
      </c>
      <c r="P6" s="42"/>
      <c r="Q6" s="42"/>
      <c r="R6" s="43">
        <v>0.5</v>
      </c>
      <c r="S6" s="43">
        <v>0</v>
      </c>
      <c r="T6" s="43">
        <v>-0.5</v>
      </c>
    </row>
    <row r="7" spans="2:20" ht="14.65" thickBot="1" x14ac:dyDescent="0.5">
      <c r="B7" s="44" t="s">
        <v>91</v>
      </c>
      <c r="J7">
        <f t="shared" si="0"/>
        <v>0</v>
      </c>
      <c r="K7">
        <f t="shared" si="1"/>
        <v>-0.37</v>
      </c>
      <c r="L7" t="str">
        <f t="shared" si="2"/>
        <v>No clinically significant pupil-dependent refractive shift expected</v>
      </c>
      <c r="N7" s="39"/>
      <c r="O7" s="41">
        <v>5</v>
      </c>
      <c r="P7" s="42"/>
      <c r="Q7" s="42"/>
      <c r="R7" s="43">
        <v>0.5</v>
      </c>
      <c r="S7" s="43">
        <v>0</v>
      </c>
      <c r="T7" s="43">
        <v>-0.5</v>
      </c>
    </row>
    <row r="8" spans="2:20" ht="14.65" thickBot="1" x14ac:dyDescent="0.5">
      <c r="B8" s="23" t="s">
        <v>28</v>
      </c>
      <c r="J8">
        <f t="shared" si="0"/>
        <v>0</v>
      </c>
      <c r="K8">
        <f t="shared" si="1"/>
        <v>0</v>
      </c>
      <c r="L8" t="str">
        <f t="shared" si="2"/>
        <v>No clinically significant pupil-dependent refractive shift expected</v>
      </c>
      <c r="N8" s="39"/>
      <c r="O8" s="39"/>
      <c r="P8" s="39"/>
      <c r="Q8" s="39"/>
      <c r="R8" s="39"/>
      <c r="S8" s="39"/>
      <c r="T8" s="39"/>
    </row>
    <row r="9" spans="2:20" ht="26.65" thickBot="1" x14ac:dyDescent="0.5">
      <c r="B9" s="23" t="s">
        <v>29</v>
      </c>
      <c r="J9">
        <f t="shared" si="0"/>
        <v>0</v>
      </c>
      <c r="K9">
        <f t="shared" si="1"/>
        <v>0</v>
      </c>
      <c r="L9" t="str">
        <f t="shared" si="2"/>
        <v>No clinically significant pupil-dependent refractive shift expected</v>
      </c>
      <c r="N9" s="39" t="s">
        <v>95</v>
      </c>
      <c r="O9" s="39"/>
      <c r="P9" s="39"/>
      <c r="Q9" s="39"/>
      <c r="R9" s="39" t="s">
        <v>109</v>
      </c>
      <c r="S9" s="39"/>
      <c r="T9" s="39"/>
    </row>
    <row r="10" spans="2:20" ht="39.4" thickBot="1" x14ac:dyDescent="0.5">
      <c r="B10" s="23" t="s">
        <v>30</v>
      </c>
      <c r="J10">
        <f t="shared" si="0"/>
        <v>0</v>
      </c>
      <c r="K10">
        <f t="shared" si="1"/>
        <v>0</v>
      </c>
      <c r="L10" t="str">
        <f t="shared" si="2"/>
        <v>No clinically significant pupil-dependent refractive shift expected</v>
      </c>
      <c r="N10" s="39"/>
      <c r="O10" s="39" t="s">
        <v>120</v>
      </c>
      <c r="P10" s="40" t="s">
        <v>121</v>
      </c>
      <c r="Q10" s="40"/>
      <c r="R10" s="40" t="s">
        <v>122</v>
      </c>
      <c r="S10" s="40" t="s">
        <v>123</v>
      </c>
      <c r="T10" s="40" t="s">
        <v>124</v>
      </c>
    </row>
    <row r="11" spans="2:20" ht="14.65" thickBot="1" x14ac:dyDescent="0.5">
      <c r="N11" s="39"/>
      <c r="O11" s="41">
        <v>2</v>
      </c>
      <c r="P11" s="42"/>
      <c r="Q11" s="42"/>
      <c r="R11" s="43">
        <v>0.5</v>
      </c>
      <c r="S11" s="43">
        <v>0.5</v>
      </c>
      <c r="T11" s="43">
        <v>0.5</v>
      </c>
    </row>
    <row r="12" spans="2:20" ht="14.65" thickBot="1" x14ac:dyDescent="0.5">
      <c r="N12" s="39"/>
      <c r="O12" s="41">
        <v>3</v>
      </c>
      <c r="P12" s="42"/>
      <c r="Q12" s="42"/>
      <c r="R12" s="43">
        <v>0.25</v>
      </c>
      <c r="S12" s="43">
        <v>0</v>
      </c>
      <c r="T12" s="43">
        <v>0</v>
      </c>
    </row>
    <row r="13" spans="2:20" ht="14.65" thickBot="1" x14ac:dyDescent="0.5">
      <c r="N13" s="39"/>
      <c r="O13" s="41">
        <v>4</v>
      </c>
      <c r="P13" s="42"/>
      <c r="Q13" s="42"/>
      <c r="R13" s="43">
        <v>0</v>
      </c>
      <c r="S13" s="43">
        <v>0</v>
      </c>
      <c r="T13" s="43">
        <v>0</v>
      </c>
    </row>
    <row r="14" spans="2:20" ht="14.65" thickBot="1" x14ac:dyDescent="0.5">
      <c r="N14" s="39"/>
      <c r="O14" s="41">
        <v>5</v>
      </c>
      <c r="P14" s="42"/>
      <c r="Q14" s="42"/>
      <c r="R14" s="43">
        <v>0</v>
      </c>
      <c r="S14" s="43">
        <v>0</v>
      </c>
      <c r="T14" s="43">
        <v>0</v>
      </c>
    </row>
    <row r="15" spans="2:20" ht="14.65" thickBot="1" x14ac:dyDescent="0.5">
      <c r="N15" s="39"/>
      <c r="O15" s="39"/>
      <c r="P15" s="39"/>
      <c r="Q15" s="39"/>
      <c r="R15" s="39"/>
      <c r="S15" s="39"/>
      <c r="T15" s="39"/>
    </row>
    <row r="16" spans="2:20" ht="26.65" thickBot="1" x14ac:dyDescent="0.5">
      <c r="N16" s="39" t="s">
        <v>91</v>
      </c>
      <c r="O16" s="39"/>
      <c r="P16" s="39"/>
      <c r="Q16" s="39"/>
      <c r="R16" s="39" t="s">
        <v>109</v>
      </c>
      <c r="S16" s="39"/>
      <c r="T16" s="39"/>
    </row>
    <row r="17" spans="14:20" ht="39.4" thickBot="1" x14ac:dyDescent="0.5">
      <c r="N17" s="39"/>
      <c r="O17" s="39" t="s">
        <v>120</v>
      </c>
      <c r="P17" s="40" t="s">
        <v>121</v>
      </c>
      <c r="Q17" s="40"/>
      <c r="R17" s="40" t="s">
        <v>122</v>
      </c>
      <c r="S17" s="40" t="s">
        <v>123</v>
      </c>
      <c r="T17" s="40" t="s">
        <v>124</v>
      </c>
    </row>
    <row r="18" spans="14:20" ht="14.65" thickBot="1" x14ac:dyDescent="0.5">
      <c r="N18" s="39"/>
      <c r="O18" s="41">
        <v>2</v>
      </c>
      <c r="P18" s="42"/>
      <c r="Q18" s="42"/>
      <c r="R18" s="43">
        <v>0</v>
      </c>
      <c r="S18" s="43">
        <v>0</v>
      </c>
      <c r="T18" s="43">
        <v>0</v>
      </c>
    </row>
    <row r="19" spans="14:20" ht="14.65" thickBot="1" x14ac:dyDescent="0.5">
      <c r="N19" s="39"/>
      <c r="O19" s="41">
        <v>3</v>
      </c>
      <c r="P19" s="42"/>
      <c r="Q19" s="42"/>
      <c r="R19" s="43">
        <v>0</v>
      </c>
      <c r="S19" s="43">
        <v>-0.25</v>
      </c>
      <c r="T19" s="43">
        <v>-0.5</v>
      </c>
    </row>
    <row r="20" spans="14:20" ht="14.65" thickBot="1" x14ac:dyDescent="0.5">
      <c r="N20" s="39"/>
      <c r="O20" s="41">
        <v>4</v>
      </c>
      <c r="P20" s="42"/>
      <c r="Q20" s="42"/>
      <c r="R20" s="43">
        <v>0</v>
      </c>
      <c r="S20" s="43">
        <v>-0.37</v>
      </c>
      <c r="T20" s="43">
        <v>-0.75</v>
      </c>
    </row>
    <row r="21" spans="14:20" ht="14.65" thickBot="1" x14ac:dyDescent="0.5">
      <c r="N21" s="39"/>
      <c r="O21" s="41">
        <v>5</v>
      </c>
      <c r="P21" s="42"/>
      <c r="Q21" s="42"/>
      <c r="R21" s="42"/>
      <c r="S21" s="43">
        <v>-0.37</v>
      </c>
      <c r="T21" s="43">
        <v>-0.75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48"/>
  <sheetViews>
    <sheetView topLeftCell="M14" workbookViewId="0">
      <selection activeCell="V27" sqref="V27"/>
    </sheetView>
  </sheetViews>
  <sheetFormatPr defaultRowHeight="14.25" x14ac:dyDescent="0.45"/>
  <cols>
    <col min="2" max="2" width="14" customWidth="1"/>
    <col min="3" max="3" width="15.59765625" customWidth="1"/>
    <col min="18" max="18" width="17.59765625" customWidth="1"/>
    <col min="22" max="22" width="29.1328125" bestFit="1" customWidth="1"/>
  </cols>
  <sheetData>
    <row r="1" spans="1:23" x14ac:dyDescent="0.45">
      <c r="A1" s="7" t="s">
        <v>31</v>
      </c>
      <c r="B1" s="7"/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x14ac:dyDescent="0.45">
      <c r="A2" s="7"/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R2" s="7"/>
      <c r="S2" s="7"/>
      <c r="T2" s="7"/>
    </row>
    <row r="3" spans="1:23" x14ac:dyDescent="0.45">
      <c r="A3" s="7"/>
      <c r="B3" s="7">
        <f>3</f>
        <v>3</v>
      </c>
      <c r="C3" s="7"/>
      <c r="D3" s="1">
        <v>2.9</v>
      </c>
      <c r="E3" s="1">
        <v>2.9</v>
      </c>
      <c r="F3" s="1">
        <v>3</v>
      </c>
      <c r="G3" s="1">
        <v>3</v>
      </c>
      <c r="H3" s="1">
        <v>3</v>
      </c>
      <c r="I3" s="1">
        <v>3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R3" s="49" t="s">
        <v>35</v>
      </c>
      <c r="S3" s="49"/>
      <c r="T3" s="49"/>
    </row>
    <row r="4" spans="1:23" x14ac:dyDescent="0.45">
      <c r="A4" s="7"/>
      <c r="B4" s="7">
        <v>4.5</v>
      </c>
      <c r="C4" s="7"/>
      <c r="D4" s="1">
        <v>1</v>
      </c>
      <c r="E4" s="1">
        <v>1</v>
      </c>
      <c r="F4" s="1">
        <v>1</v>
      </c>
      <c r="G4" s="1">
        <v>1</v>
      </c>
      <c r="H4" s="1">
        <v>1.1000000000000001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R4" s="9" t="s">
        <v>37</v>
      </c>
      <c r="S4" s="2">
        <f>'INPUT DATA'!G2</f>
        <v>0.35</v>
      </c>
      <c r="T4" s="7"/>
      <c r="V4" s="10" t="s">
        <v>38</v>
      </c>
      <c r="W4" s="10">
        <f>'INPUT DATA'!H2</f>
        <v>0.06</v>
      </c>
    </row>
    <row r="5" spans="1:23" x14ac:dyDescent="0.45">
      <c r="A5" s="7"/>
      <c r="R5" s="9" t="s">
        <v>40</v>
      </c>
      <c r="S5" s="2">
        <f>'INPUT DATA'!C2</f>
        <v>1.8</v>
      </c>
      <c r="T5" s="7"/>
      <c r="V5" s="10" t="s">
        <v>41</v>
      </c>
      <c r="W5" s="10">
        <f>'INPUT DATA'!I2</f>
        <v>0.05</v>
      </c>
    </row>
    <row r="6" spans="1:23" x14ac:dyDescent="0.45">
      <c r="A6" s="7"/>
      <c r="B6" s="7" t="s">
        <v>77</v>
      </c>
      <c r="C6" s="7"/>
      <c r="D6" s="1">
        <f>D4/D3</f>
        <v>0.34482758620689657</v>
      </c>
      <c r="E6" s="1">
        <f t="shared" ref="E6:P6" si="0">E4/E3</f>
        <v>0.34482758620689657</v>
      </c>
      <c r="F6" s="1">
        <f t="shared" si="0"/>
        <v>0.33333333333333331</v>
      </c>
      <c r="G6" s="1">
        <f t="shared" si="0"/>
        <v>0.33333333333333331</v>
      </c>
      <c r="H6" s="1">
        <f t="shared" si="0"/>
        <v>0.3666666666666667</v>
      </c>
      <c r="I6" s="1">
        <f t="shared" si="0"/>
        <v>0.33333333333333331</v>
      </c>
      <c r="J6" s="1">
        <f t="shared" si="0"/>
        <v>0.33333333333333331</v>
      </c>
      <c r="K6" s="1">
        <f t="shared" si="0"/>
        <v>0.33333333333333331</v>
      </c>
      <c r="L6" s="1">
        <f t="shared" si="0"/>
        <v>0.33333333333333331</v>
      </c>
      <c r="M6" s="1">
        <f t="shared" si="0"/>
        <v>0.33333333333333331</v>
      </c>
      <c r="N6" s="1">
        <f t="shared" si="0"/>
        <v>0.33333333333333331</v>
      </c>
      <c r="O6" s="1">
        <f t="shared" si="0"/>
        <v>0.33333333333333331</v>
      </c>
      <c r="P6" s="1">
        <f t="shared" si="0"/>
        <v>0.33333333333333331</v>
      </c>
      <c r="R6" s="9" t="s">
        <v>43</v>
      </c>
      <c r="S6" s="2">
        <f>'INPUT DATA'!D2</f>
        <v>3.5</v>
      </c>
      <c r="T6" s="7"/>
    </row>
    <row r="7" spans="1:23" x14ac:dyDescent="0.45">
      <c r="A7" s="7"/>
      <c r="B7" s="7"/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3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23" x14ac:dyDescent="0.4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R9" s="15" t="s">
        <v>78</v>
      </c>
      <c r="S9">
        <f>IF(S5&lt;=3,MAX(0.55,1-0.18*(3-S5)^2), IF(S5&lt;=4,1-0.12*(S5-3)^2, IF(S5&lt;=4.5,0.88-(0.88-INDEX(D6:P6,MATCH(ROUND(S4,1),D1:P1,0)))*(S5-4)/0.5, MAX(0.18,INDEX(D6:P6,MATCH(ROUND(S4,1),D1:P1,0))-0.1*(S5-4.5)))))</f>
        <v>0.74080000000000001</v>
      </c>
    </row>
    <row r="10" spans="1:23" x14ac:dyDescent="0.45">
      <c r="A10" s="7" t="s">
        <v>49</v>
      </c>
      <c r="B10" s="7"/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15" t="s">
        <v>79</v>
      </c>
      <c r="S10">
        <f>IF(S6&lt;=3,MAX(0.75,1-0.08*(3-S6)^2), IF(S6&lt;=4,1-0.05*(S6-3)^2, IF(S6&lt;=4.5,0.95-(0.95-INDEX(D15:P15,MATCH(ROUND(S4,1),D10:P10,0)))*(S6-4)/0.5, MAX(0.6,INDEX(D15:P15,MATCH(ROUND(S4,1),D10:P10,0))-0.07*(S6-4.5)))))</f>
        <v>0.98750000000000004</v>
      </c>
    </row>
    <row r="11" spans="1:23" x14ac:dyDescent="0.45">
      <c r="A11" s="7"/>
      <c r="B11" s="7" t="s">
        <v>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23" x14ac:dyDescent="0.45">
      <c r="A12" s="7"/>
      <c r="B12" s="7">
        <v>3</v>
      </c>
      <c r="C12" s="7"/>
      <c r="D12" s="1">
        <v>4.8</v>
      </c>
      <c r="E12" s="1">
        <v>5</v>
      </c>
      <c r="F12" s="1">
        <v>5.0999999999999996</v>
      </c>
      <c r="G12" s="1">
        <v>5.3</v>
      </c>
      <c r="H12" s="1">
        <v>5.5</v>
      </c>
      <c r="I12" s="1">
        <v>5.5</v>
      </c>
      <c r="J12" s="1">
        <v>5.7</v>
      </c>
      <c r="K12" s="1">
        <v>5.7</v>
      </c>
      <c r="L12" s="1">
        <v>5.8</v>
      </c>
      <c r="M12" s="1">
        <v>5.8</v>
      </c>
      <c r="N12" s="1">
        <v>5.8</v>
      </c>
      <c r="O12" s="1">
        <v>5.8</v>
      </c>
      <c r="P12" s="1">
        <v>5.8</v>
      </c>
      <c r="R12" t="s">
        <v>31</v>
      </c>
      <c r="S12">
        <f>INDEX(D3:P3,1,MATCH(ROUND(S4,1),D1:P1,0))*S9</f>
        <v>2.2223999999999999</v>
      </c>
    </row>
    <row r="13" spans="1:23" x14ac:dyDescent="0.45">
      <c r="A13" s="7"/>
      <c r="B13" s="7">
        <v>4.5</v>
      </c>
      <c r="C13" s="7"/>
      <c r="D13" s="1">
        <v>3</v>
      </c>
      <c r="E13" s="1">
        <v>3.1</v>
      </c>
      <c r="F13" s="1">
        <v>3.3</v>
      </c>
      <c r="G13" s="1">
        <v>3.6</v>
      </c>
      <c r="H13" s="1">
        <v>3.8</v>
      </c>
      <c r="I13" s="1">
        <v>4.2</v>
      </c>
      <c r="J13" s="1">
        <v>4.5999999999999996</v>
      </c>
      <c r="K13" s="1">
        <v>5</v>
      </c>
      <c r="L13" s="1">
        <v>4.5</v>
      </c>
      <c r="M13" s="1">
        <v>3.5</v>
      </c>
      <c r="N13" s="1">
        <v>3.5</v>
      </c>
      <c r="O13" s="1">
        <v>3</v>
      </c>
      <c r="P13" s="1">
        <v>2.5</v>
      </c>
      <c r="R13" t="s">
        <v>80</v>
      </c>
      <c r="S13">
        <f>INDEX(D12:P12,1,MATCH(ROUND(S4,1),D10:P10,0))*S10</f>
        <v>5.7275</v>
      </c>
      <c r="V13" t="s">
        <v>81</v>
      </c>
      <c r="W13">
        <f>ROUND(MAX(0,S12-MIN(0.5,1.2*SQRT((W4)^2+(0.7*W5)^2)*(S5/6)^2)),1)</f>
        <v>2.2000000000000002</v>
      </c>
    </row>
    <row r="14" spans="1:23" x14ac:dyDescent="0.45">
      <c r="A14" s="7"/>
      <c r="B14" s="7"/>
      <c r="C14" s="7"/>
      <c r="V14" t="s">
        <v>82</v>
      </c>
      <c r="W14">
        <f>ROUND(MAX(0,W13*MAX(0.95,1-0.06*MAX(0,S23-0.3)-0.03*MAX(0,S24-0.3))),1)</f>
        <v>2.2000000000000002</v>
      </c>
    </row>
    <row r="15" spans="1:23" x14ac:dyDescent="0.45">
      <c r="A15" s="7"/>
      <c r="B15" s="7" t="s">
        <v>83</v>
      </c>
      <c r="C15" s="7"/>
      <c r="D15" s="1">
        <f>D13/D12</f>
        <v>0.625</v>
      </c>
      <c r="E15" s="1">
        <f t="shared" ref="E15:P15" si="1">E13/E12</f>
        <v>0.62</v>
      </c>
      <c r="F15" s="1">
        <f t="shared" si="1"/>
        <v>0.6470588235294118</v>
      </c>
      <c r="G15" s="1">
        <f t="shared" si="1"/>
        <v>0.679245283018868</v>
      </c>
      <c r="H15" s="1">
        <f t="shared" si="1"/>
        <v>0.69090909090909092</v>
      </c>
      <c r="I15" s="1">
        <f t="shared" si="1"/>
        <v>0.76363636363636367</v>
      </c>
      <c r="J15" s="1">
        <f t="shared" si="1"/>
        <v>0.80701754385964908</v>
      </c>
      <c r="K15" s="1">
        <f t="shared" si="1"/>
        <v>0.8771929824561403</v>
      </c>
      <c r="L15" s="1">
        <f t="shared" si="1"/>
        <v>0.77586206896551724</v>
      </c>
      <c r="M15" s="1">
        <f t="shared" si="1"/>
        <v>0.60344827586206895</v>
      </c>
      <c r="N15" s="1">
        <f t="shared" si="1"/>
        <v>0.60344827586206895</v>
      </c>
      <c r="O15" s="1">
        <f t="shared" si="1"/>
        <v>0.51724137931034486</v>
      </c>
      <c r="P15" s="1">
        <f t="shared" si="1"/>
        <v>0.43103448275862072</v>
      </c>
    </row>
    <row r="16" spans="1:23" x14ac:dyDescent="0.45">
      <c r="A16" s="7"/>
      <c r="B16" s="7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V16" t="s">
        <v>84</v>
      </c>
      <c r="W16">
        <f>ROUND(MAX(0,S13-MIN(3,5.8*SQRT((W4)^2+(0.7*W5)^2)*(S6/6)^3)),1)</f>
        <v>5.6</v>
      </c>
    </row>
    <row r="17" spans="1:23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V17" t="s">
        <v>85</v>
      </c>
      <c r="W17">
        <f>ROUND(MAX(0,W16*MAX(0.85,1-0.3*MAX(0,S23-0.3)-0.2*MAX(0,S24-0.3))),1)</f>
        <v>5.6</v>
      </c>
    </row>
    <row r="18" spans="1:23" x14ac:dyDescent="0.4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23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23" x14ac:dyDescent="0.45">
      <c r="V20" t="s">
        <v>86</v>
      </c>
    </row>
    <row r="21" spans="1:23" x14ac:dyDescent="0.45">
      <c r="V21" t="str">
        <f>IF(W48&lt;0.75,"Distance only / No functional near",
IF(W48&lt;1.25,"Weak intermediate, poor near",
IF(W48&lt;1.75,"Functional intermediate, limited near",
IF(W48&lt;2.25,"Good intermediate and near",
"Excellent near performance"))))</f>
        <v>Good intermediate and near</v>
      </c>
    </row>
    <row r="23" spans="1:23" x14ac:dyDescent="0.45">
      <c r="R23" s="12" t="s">
        <v>3</v>
      </c>
      <c r="S23" s="12">
        <f>'INPUT DATA'!E2</f>
        <v>0.1</v>
      </c>
      <c r="V23" t="s">
        <v>87</v>
      </c>
    </row>
    <row r="24" spans="1:23" x14ac:dyDescent="0.45">
      <c r="R24" s="12" t="s">
        <v>4</v>
      </c>
      <c r="S24" s="12">
        <f>'INPUT DATA'!F2</f>
        <v>0.25</v>
      </c>
      <c r="V24">
        <f>ROUND(IF(W17&gt;=6,10,IF(W17&gt;=4,7+((W17-4)/2)*3,IF(W17&gt;=3,5+((W17-3)/1)*2,IF(W17&gt;=2,3+((W17-2)/1)*2,MAX(0,(W17/2)*3))))),1)</f>
        <v>9.4</v>
      </c>
    </row>
    <row r="26" spans="1:23" x14ac:dyDescent="0.45">
      <c r="V26" t="s">
        <v>24</v>
      </c>
    </row>
    <row r="27" spans="1:23" x14ac:dyDescent="0.45">
      <c r="V27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Very good visual quality in bright lighting; noticeable decline in low-light environments</v>
      </c>
    </row>
    <row r="28" spans="1:23" x14ac:dyDescent="0.45">
      <c r="V28" t="s">
        <v>88</v>
      </c>
    </row>
    <row r="29" spans="1:23" x14ac:dyDescent="0.45">
      <c r="V29">
        <f>ROUND(MIN(10,W14*3.4),1)</f>
        <v>7.5</v>
      </c>
    </row>
    <row r="31" spans="1:23" x14ac:dyDescent="0.45">
      <c r="V31" t="s">
        <v>114</v>
      </c>
    </row>
    <row r="32" spans="1:23" x14ac:dyDescent="0.45">
      <c r="V32">
        <f>'DYSPHOTOPSIA SCORES'!E27</f>
        <v>5.5</v>
      </c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4" spans="22:23" x14ac:dyDescent="0.45">
      <c r="V44" s="7"/>
      <c r="W44" s="7"/>
    </row>
    <row r="45" spans="22:23" x14ac:dyDescent="0.45">
      <c r="V45" s="7"/>
      <c r="W45" s="7"/>
    </row>
    <row r="46" spans="22:23" x14ac:dyDescent="0.45">
      <c r="V46" s="7"/>
      <c r="W46" s="7"/>
    </row>
    <row r="47" spans="22:23" x14ac:dyDescent="0.45">
      <c r="V47" s="35" t="s">
        <v>115</v>
      </c>
      <c r="W47" s="35">
        <f>ROUND(W17*(1-(1-(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))*1.3),1)</f>
        <v>4.5</v>
      </c>
    </row>
    <row r="48" spans="22:23" x14ac:dyDescent="0.45">
      <c r="V48" s="35" t="s">
        <v>116</v>
      </c>
      <c r="W48" s="35">
        <f>ROUND(W14*(1-(1-(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))*1.3),2)</f>
        <v>1.95</v>
      </c>
    </row>
  </sheetData>
  <mergeCells count="2">
    <mergeCell ref="R1:T1"/>
    <mergeCell ref="R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8"/>
  <sheetViews>
    <sheetView topLeftCell="K22" workbookViewId="0">
      <selection activeCell="V28" sqref="V28"/>
    </sheetView>
  </sheetViews>
  <sheetFormatPr defaultRowHeight="14.25" x14ac:dyDescent="0.45"/>
  <cols>
    <col min="2" max="2" width="14" customWidth="1"/>
    <col min="3" max="3" width="15.59765625" customWidth="1"/>
    <col min="18" max="18" width="17.59765625" customWidth="1"/>
    <col min="22" max="22" width="29.1328125" bestFit="1" customWidth="1"/>
  </cols>
  <sheetData>
    <row r="1" spans="1:23" x14ac:dyDescent="0.45">
      <c r="A1" s="7" t="s">
        <v>31</v>
      </c>
      <c r="B1" s="7"/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x14ac:dyDescent="0.45">
      <c r="A2" s="7"/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R2" s="7"/>
      <c r="S2" s="7"/>
      <c r="T2" s="7"/>
    </row>
    <row r="3" spans="1:23" x14ac:dyDescent="0.45">
      <c r="A3" s="7"/>
      <c r="B3" s="7">
        <f>3</f>
        <v>3</v>
      </c>
      <c r="C3" s="7"/>
      <c r="D3" s="1">
        <v>2.5</v>
      </c>
      <c r="E3" s="1">
        <v>2.4</v>
      </c>
      <c r="F3" s="1">
        <v>2.2999999999999998</v>
      </c>
      <c r="G3" s="1">
        <v>2.2999999999999998</v>
      </c>
      <c r="H3" s="1">
        <v>2.2999999999999998</v>
      </c>
      <c r="I3" s="1">
        <v>2.2999999999999998</v>
      </c>
      <c r="J3" s="1">
        <v>2.2999999999999998</v>
      </c>
      <c r="K3" s="1">
        <v>2.2999999999999998</v>
      </c>
      <c r="L3" s="1">
        <v>2.2999999999999998</v>
      </c>
      <c r="M3" s="1">
        <v>2.2999999999999998</v>
      </c>
      <c r="N3" s="1">
        <v>2.2999999999999998</v>
      </c>
      <c r="O3" s="1">
        <v>2.2999999999999998</v>
      </c>
      <c r="P3" s="1">
        <v>2.4</v>
      </c>
      <c r="R3" s="49" t="s">
        <v>35</v>
      </c>
      <c r="S3" s="49"/>
      <c r="T3" s="49"/>
    </row>
    <row r="4" spans="1:23" x14ac:dyDescent="0.45">
      <c r="A4" s="7"/>
      <c r="B4" s="7">
        <v>4.5</v>
      </c>
      <c r="C4" s="7"/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R4" s="9" t="s">
        <v>37</v>
      </c>
      <c r="S4" s="2">
        <f>'INPUT DATA'!G2</f>
        <v>0.35</v>
      </c>
      <c r="T4" s="7"/>
      <c r="V4" s="10" t="s">
        <v>38</v>
      </c>
      <c r="W4" s="10">
        <f>'INPUT DATA'!H2</f>
        <v>0.06</v>
      </c>
    </row>
    <row r="5" spans="1:23" x14ac:dyDescent="0.45">
      <c r="A5" s="7"/>
      <c r="R5" s="9" t="s">
        <v>40</v>
      </c>
      <c r="S5" s="2">
        <f>'INPUT DATA'!C2</f>
        <v>1.8</v>
      </c>
      <c r="T5" s="7"/>
      <c r="V5" s="10" t="s">
        <v>41</v>
      </c>
      <c r="W5" s="10">
        <f>'INPUT DATA'!I2</f>
        <v>0.05</v>
      </c>
    </row>
    <row r="6" spans="1:23" x14ac:dyDescent="0.45">
      <c r="A6" s="7"/>
      <c r="B6" s="7" t="s">
        <v>77</v>
      </c>
      <c r="C6" s="7"/>
      <c r="D6" s="1">
        <f>D4/D3</f>
        <v>0.4</v>
      </c>
      <c r="E6" s="1">
        <f t="shared" ref="E6:P6" si="0">E4/E3</f>
        <v>0.41666666666666669</v>
      </c>
      <c r="F6" s="1">
        <f t="shared" si="0"/>
        <v>0.43478260869565222</v>
      </c>
      <c r="G6" s="1">
        <f t="shared" si="0"/>
        <v>0.43478260869565222</v>
      </c>
      <c r="H6" s="1">
        <f t="shared" si="0"/>
        <v>0.43478260869565222</v>
      </c>
      <c r="I6" s="1">
        <f t="shared" si="0"/>
        <v>0.43478260869565222</v>
      </c>
      <c r="J6" s="1">
        <f t="shared" si="0"/>
        <v>0.43478260869565222</v>
      </c>
      <c r="K6" s="1">
        <f t="shared" si="0"/>
        <v>0.43478260869565222</v>
      </c>
      <c r="L6" s="1">
        <f t="shared" si="0"/>
        <v>0.43478260869565222</v>
      </c>
      <c r="M6" s="1">
        <f t="shared" si="0"/>
        <v>0.43478260869565222</v>
      </c>
      <c r="N6" s="1">
        <f t="shared" si="0"/>
        <v>0.43478260869565222</v>
      </c>
      <c r="O6" s="1">
        <f t="shared" si="0"/>
        <v>0.43478260869565222</v>
      </c>
      <c r="P6" s="1">
        <f t="shared" si="0"/>
        <v>0.41666666666666669</v>
      </c>
      <c r="R6" s="9" t="s">
        <v>43</v>
      </c>
      <c r="S6" s="2">
        <f>'INPUT DATA'!D2</f>
        <v>3.5</v>
      </c>
      <c r="T6" s="7"/>
    </row>
    <row r="7" spans="1:23" x14ac:dyDescent="0.45">
      <c r="A7" s="7"/>
      <c r="B7" s="7"/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3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23" x14ac:dyDescent="0.4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R9" s="15" t="s">
        <v>78</v>
      </c>
      <c r="S9">
        <f>IF(S5&lt;=3,MAX(0.6,1-0.15*(3-S5)^2),
 IF(S5&lt;=4,1-0.1*(S5-3)^2,
 IF(S5&lt;=4.5,0.9-(0.9-INDEX(D6:P6,MATCH(ROUND(S4,1),D1:P1,0)))*(S5-4)/0.5,
 MAX(0.22,INDEX(D6:P6,MATCH(ROUND(S4,1),D1:P1,0))-0.08*(S5-4.5)))))</f>
        <v>0.78400000000000003</v>
      </c>
    </row>
    <row r="10" spans="1:23" x14ac:dyDescent="0.45">
      <c r="A10" s="7" t="s">
        <v>49</v>
      </c>
      <c r="B10" s="7"/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15" t="s">
        <v>79</v>
      </c>
      <c r="S10">
        <f>IF(S6&lt;=3,MAX(0.8,1-0.06*(3-S6)^2),
 IF(S6&lt;=4,1-0.035*(S6-3)^2,
 IF(S6&lt;=4.5,0.96-(0.96-INDEX(D15:P15,MATCH(ROUND(S4,1),D10:P10,0)))*(S6-4)/0.5,
 MAX(0.68,INDEX(D15:P15,MATCH(ROUND(S4,1),D10:P10,0))-0.05*(S6-4.5)))))</f>
        <v>0.99124999999999996</v>
      </c>
    </row>
    <row r="11" spans="1:23" x14ac:dyDescent="0.45">
      <c r="A11" s="7"/>
      <c r="B11" s="7" t="s">
        <v>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23" x14ac:dyDescent="0.45">
      <c r="A12" s="7"/>
      <c r="B12" s="7">
        <v>3</v>
      </c>
      <c r="C12" s="7"/>
      <c r="D12" s="1">
        <v>4.7</v>
      </c>
      <c r="E12" s="1">
        <v>4.8</v>
      </c>
      <c r="F12" s="1">
        <v>4.9000000000000004</v>
      </c>
      <c r="G12" s="1">
        <v>5.0999999999999996</v>
      </c>
      <c r="H12" s="1">
        <v>5.2</v>
      </c>
      <c r="I12" s="1">
        <v>5.2</v>
      </c>
      <c r="J12" s="1">
        <v>5.3</v>
      </c>
      <c r="K12" s="1">
        <v>5.4</v>
      </c>
      <c r="L12" s="1">
        <v>5.4</v>
      </c>
      <c r="M12" s="1">
        <v>5.4</v>
      </c>
      <c r="N12" s="1">
        <v>5.4</v>
      </c>
      <c r="O12" s="1">
        <v>5.4</v>
      </c>
      <c r="P12" s="1">
        <v>5.4</v>
      </c>
      <c r="R12" t="s">
        <v>31</v>
      </c>
      <c r="S12">
        <f>INDEX(D3:P3,1,MATCH(ROUND(S4,1),D1:P1,0))*S9</f>
        <v>1.8031999999999999</v>
      </c>
    </row>
    <row r="13" spans="1:23" x14ac:dyDescent="0.45">
      <c r="A13" s="7"/>
      <c r="B13" s="7">
        <v>4.5</v>
      </c>
      <c r="C13" s="7"/>
      <c r="D13" s="1">
        <v>3.5</v>
      </c>
      <c r="E13" s="1">
        <v>3.7</v>
      </c>
      <c r="F13" s="1">
        <v>3.9</v>
      </c>
      <c r="G13" s="1">
        <v>4.2</v>
      </c>
      <c r="H13" s="1">
        <v>4.5</v>
      </c>
      <c r="I13" s="1">
        <v>4.9000000000000004</v>
      </c>
      <c r="J13" s="1">
        <v>5.0999999999999996</v>
      </c>
      <c r="K13" s="1">
        <v>5.0999999999999996</v>
      </c>
      <c r="L13" s="1">
        <v>5</v>
      </c>
      <c r="M13" s="1">
        <v>4.5</v>
      </c>
      <c r="N13" s="1">
        <v>4</v>
      </c>
      <c r="O13" s="1">
        <v>3.5</v>
      </c>
      <c r="P13" s="1">
        <v>3</v>
      </c>
      <c r="R13" t="s">
        <v>80</v>
      </c>
      <c r="S13">
        <f>INDEX(D12:P12,1,MATCH(ROUND(S4,1),D10:P10,0))*S10</f>
        <v>5.3527500000000003</v>
      </c>
      <c r="V13" t="s">
        <v>81</v>
      </c>
      <c r="W13">
        <f>ROUND(MAX(0,S12-MIN(0.4,1*SQRT((W4)^2+(0.7*W5)^2)*(S5/6)^2)),1)</f>
        <v>1.8</v>
      </c>
    </row>
    <row r="14" spans="1:23" x14ac:dyDescent="0.45">
      <c r="A14" s="7"/>
      <c r="B14" s="7"/>
      <c r="C14" s="7"/>
      <c r="V14" t="s">
        <v>82</v>
      </c>
      <c r="W14">
        <f>ROUND(MAX(0,W13*MAX(0.96,1-0.05*MAX(0,S23-0.3)-0.025*MAX(0,S24-0.3))),1)</f>
        <v>1.8</v>
      </c>
    </row>
    <row r="15" spans="1:23" x14ac:dyDescent="0.45">
      <c r="A15" s="7"/>
      <c r="B15" s="7" t="s">
        <v>83</v>
      </c>
      <c r="C15" s="7"/>
      <c r="D15" s="1">
        <f>D13/D12</f>
        <v>0.74468085106382975</v>
      </c>
      <c r="E15" s="1">
        <f t="shared" ref="E15:P15" si="1">E13/E12</f>
        <v>0.77083333333333337</v>
      </c>
      <c r="F15" s="1">
        <f t="shared" si="1"/>
        <v>0.79591836734693866</v>
      </c>
      <c r="G15" s="1">
        <f t="shared" si="1"/>
        <v>0.82352941176470595</v>
      </c>
      <c r="H15" s="1">
        <f t="shared" si="1"/>
        <v>0.86538461538461531</v>
      </c>
      <c r="I15" s="1">
        <f t="shared" si="1"/>
        <v>0.94230769230769229</v>
      </c>
      <c r="J15" s="1">
        <f t="shared" si="1"/>
        <v>0.96226415094339623</v>
      </c>
      <c r="K15" s="1">
        <f t="shared" si="1"/>
        <v>0.94444444444444431</v>
      </c>
      <c r="L15" s="1">
        <f t="shared" si="1"/>
        <v>0.92592592592592582</v>
      </c>
      <c r="M15" s="1">
        <f t="shared" si="1"/>
        <v>0.83333333333333326</v>
      </c>
      <c r="N15" s="1">
        <f t="shared" si="1"/>
        <v>0.7407407407407407</v>
      </c>
      <c r="O15" s="1">
        <f t="shared" si="1"/>
        <v>0.64814814814814814</v>
      </c>
      <c r="P15" s="1">
        <f t="shared" si="1"/>
        <v>0.55555555555555547</v>
      </c>
    </row>
    <row r="16" spans="1:23" x14ac:dyDescent="0.45">
      <c r="A16" s="7"/>
      <c r="B16" s="7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V16" t="s">
        <v>84</v>
      </c>
      <c r="W16">
        <f>ROUND(MAX(0,S13-MIN(2.7,5*SQRT((W4)^2+(0.7*W5)^2)*(S6/6)^3)),1)</f>
        <v>5.3</v>
      </c>
    </row>
    <row r="17" spans="1:23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V17" t="s">
        <v>85</v>
      </c>
      <c r="W17">
        <f>ROUND(MAX(0,W16*MAX(0.88,1-0.25*MAX(0,S23-0.3)-0.15*MAX(0,S24-0.3))),1)</f>
        <v>5.3</v>
      </c>
    </row>
    <row r="18" spans="1:23" x14ac:dyDescent="0.45">
      <c r="A18" s="7"/>
      <c r="B18" s="7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23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23" x14ac:dyDescent="0.45">
      <c r="A20" s="7"/>
      <c r="B20" s="7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V20" t="s">
        <v>86</v>
      </c>
    </row>
    <row r="21" spans="1:23" x14ac:dyDescent="0.45">
      <c r="A21" s="7"/>
      <c r="B21" s="7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V21" t="str">
        <f>IF(W48&lt;0.75,"Distance only / No functional near",
IF(W48&lt;1.25,"Weak intermediate, poor near",
IF(W48&lt;1.75,"Functional intermediate, limited near",
IF(W48&lt;2.25,"Good intermediate and near",
"Excellent near performance"))))</f>
        <v>Functional intermediate, limited near</v>
      </c>
    </row>
    <row r="23" spans="1:23" x14ac:dyDescent="0.45">
      <c r="R23" s="12" t="s">
        <v>3</v>
      </c>
      <c r="S23" s="12">
        <f>'INPUT DATA'!E2</f>
        <v>0.1</v>
      </c>
      <c r="V23" t="s">
        <v>87</v>
      </c>
    </row>
    <row r="24" spans="1:23" x14ac:dyDescent="0.45">
      <c r="R24" s="12" t="s">
        <v>4</v>
      </c>
      <c r="S24" s="12">
        <f>'INPUT DATA'!F2</f>
        <v>0.25</v>
      </c>
      <c r="V24">
        <f>ROUND(IF(W17&gt;=6,10,IF(W17&gt;=4,7+((W17-4)/2)*3,IF(W17&gt;=3,5+((W17-3)/1)*2,IF(W17&gt;=2,3+((W17-2)/1)*2,MAX(0,(W17/2)*3))))),1)</f>
        <v>9</v>
      </c>
    </row>
    <row r="26" spans="1:23" x14ac:dyDescent="0.45">
      <c r="V26" t="s">
        <v>24</v>
      </c>
    </row>
    <row r="27" spans="1:23" x14ac:dyDescent="0.45">
      <c r="V27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Very good visual quality in bright lighting; noticeable decline in low-light environments</v>
      </c>
    </row>
    <row r="28" spans="1:23" x14ac:dyDescent="0.45">
      <c r="V28" t="s">
        <v>88</v>
      </c>
    </row>
    <row r="29" spans="1:23" x14ac:dyDescent="0.45">
      <c r="V29">
        <f>ROUND(MIN(10,W14*3.4),1)</f>
        <v>6.1</v>
      </c>
    </row>
    <row r="31" spans="1:23" x14ac:dyDescent="0.45">
      <c r="V31" t="s">
        <v>114</v>
      </c>
    </row>
    <row r="32" spans="1:23" x14ac:dyDescent="0.45">
      <c r="V32">
        <f>'DYSPHOTOPSIA SCORES'!E25</f>
        <v>4.9000000000000004</v>
      </c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4" spans="22:23" x14ac:dyDescent="0.45">
      <c r="V44" s="7"/>
      <c r="W44" s="7"/>
    </row>
    <row r="45" spans="22:23" x14ac:dyDescent="0.45">
      <c r="V45" s="7"/>
      <c r="W45" s="7"/>
    </row>
    <row r="46" spans="22:23" x14ac:dyDescent="0.45">
      <c r="V46" s="7"/>
      <c r="W46" s="7"/>
    </row>
    <row r="47" spans="22:23" x14ac:dyDescent="0.45">
      <c r="V47" s="35" t="s">
        <v>115</v>
      </c>
      <c r="W47" s="35">
        <f>ROUND(W17*(1-(1-(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))*1.2),1)</f>
        <v>4.4000000000000004</v>
      </c>
    </row>
    <row r="48" spans="22:23" x14ac:dyDescent="0.45">
      <c r="V48" s="35" t="s">
        <v>116</v>
      </c>
      <c r="W48" s="35">
        <f>ROUND(W14*(1-(1-(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))*1.2),2)</f>
        <v>1.61</v>
      </c>
    </row>
  </sheetData>
  <mergeCells count="2">
    <mergeCell ref="R1:T1"/>
    <mergeCell ref="R3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8"/>
  <sheetViews>
    <sheetView topLeftCell="M14" workbookViewId="0">
      <selection activeCell="V28" sqref="V28"/>
    </sheetView>
  </sheetViews>
  <sheetFormatPr defaultRowHeight="14.25" x14ac:dyDescent="0.45"/>
  <cols>
    <col min="2" max="2" width="14" customWidth="1"/>
    <col min="3" max="3" width="15.59765625" customWidth="1"/>
    <col min="18" max="18" width="17.59765625" customWidth="1"/>
    <col min="22" max="22" width="29.1328125" bestFit="1" customWidth="1"/>
  </cols>
  <sheetData>
    <row r="1" spans="1:23" x14ac:dyDescent="0.45">
      <c r="A1" s="7" t="s">
        <v>31</v>
      </c>
      <c r="B1" s="7"/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x14ac:dyDescent="0.45">
      <c r="A2" s="7"/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R2" s="7"/>
      <c r="S2" s="7"/>
      <c r="T2" s="7"/>
    </row>
    <row r="3" spans="1:23" x14ac:dyDescent="0.45">
      <c r="A3" s="7"/>
      <c r="B3" s="7">
        <f>3</f>
        <v>3</v>
      </c>
      <c r="C3" s="7"/>
      <c r="D3" s="1">
        <v>2.6</v>
      </c>
      <c r="E3" s="1">
        <v>2.6</v>
      </c>
      <c r="F3" s="1">
        <v>2.6</v>
      </c>
      <c r="G3" s="1">
        <v>2.6</v>
      </c>
      <c r="H3" s="1">
        <v>2.6</v>
      </c>
      <c r="I3" s="1">
        <v>2.6</v>
      </c>
      <c r="J3" s="1">
        <v>2.5</v>
      </c>
      <c r="K3" s="1">
        <v>2.5</v>
      </c>
      <c r="L3" s="1">
        <v>2.5</v>
      </c>
      <c r="M3" s="1">
        <v>2.5</v>
      </c>
      <c r="N3" s="1">
        <v>2.5</v>
      </c>
      <c r="O3" s="1">
        <v>2.5</v>
      </c>
      <c r="P3" s="1">
        <v>2.6</v>
      </c>
      <c r="R3" s="49" t="s">
        <v>35</v>
      </c>
      <c r="S3" s="49"/>
      <c r="T3" s="49"/>
    </row>
    <row r="4" spans="1:23" x14ac:dyDescent="0.45">
      <c r="A4" s="7"/>
      <c r="B4" s="7">
        <v>4.5</v>
      </c>
      <c r="C4" s="7"/>
      <c r="D4" s="1">
        <v>1.2</v>
      </c>
      <c r="E4" s="1">
        <v>1.2</v>
      </c>
      <c r="F4" s="1">
        <v>1.2</v>
      </c>
      <c r="G4" s="1">
        <v>1.1000000000000001</v>
      </c>
      <c r="H4" s="1">
        <v>1.1000000000000001</v>
      </c>
      <c r="I4" s="1">
        <v>1.1000000000000001</v>
      </c>
      <c r="J4" s="1">
        <v>1.1000000000000001</v>
      </c>
      <c r="K4" s="1">
        <v>1.1000000000000001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R4" s="9" t="s">
        <v>37</v>
      </c>
      <c r="S4" s="2">
        <f>'INPUT DATA'!G2</f>
        <v>0.35</v>
      </c>
      <c r="T4" s="7"/>
      <c r="V4" s="10" t="s">
        <v>38</v>
      </c>
      <c r="W4" s="10">
        <f>'INPUT DATA'!H2</f>
        <v>0.06</v>
      </c>
    </row>
    <row r="5" spans="1:23" x14ac:dyDescent="0.45">
      <c r="A5" s="7"/>
      <c r="R5" s="9" t="s">
        <v>40</v>
      </c>
      <c r="S5" s="2">
        <f>'INPUT DATA'!C2</f>
        <v>1.8</v>
      </c>
      <c r="T5" s="7"/>
      <c r="V5" s="10" t="s">
        <v>41</v>
      </c>
      <c r="W5" s="10">
        <f>'INPUT DATA'!I2</f>
        <v>0.05</v>
      </c>
    </row>
    <row r="6" spans="1:23" x14ac:dyDescent="0.45">
      <c r="A6" s="7"/>
      <c r="B6" s="7" t="s">
        <v>77</v>
      </c>
      <c r="C6" s="7"/>
      <c r="D6" s="1">
        <f>D4/D3</f>
        <v>0.46153846153846151</v>
      </c>
      <c r="E6" s="1">
        <f t="shared" ref="E6:P6" si="0">E4/E3</f>
        <v>0.46153846153846151</v>
      </c>
      <c r="F6" s="1">
        <f t="shared" si="0"/>
        <v>0.46153846153846151</v>
      </c>
      <c r="G6" s="1">
        <f t="shared" si="0"/>
        <v>0.42307692307692307</v>
      </c>
      <c r="H6" s="1">
        <f t="shared" si="0"/>
        <v>0.42307692307692307</v>
      </c>
      <c r="I6" s="1">
        <f t="shared" si="0"/>
        <v>0.42307692307692307</v>
      </c>
      <c r="J6" s="1">
        <f t="shared" si="0"/>
        <v>0.44000000000000006</v>
      </c>
      <c r="K6" s="1">
        <f t="shared" si="0"/>
        <v>0.44000000000000006</v>
      </c>
      <c r="L6" s="1">
        <f t="shared" si="0"/>
        <v>0.4</v>
      </c>
      <c r="M6" s="1">
        <f t="shared" si="0"/>
        <v>0.4</v>
      </c>
      <c r="N6" s="1">
        <f t="shared" si="0"/>
        <v>0.4</v>
      </c>
      <c r="O6" s="1">
        <f t="shared" si="0"/>
        <v>0.4</v>
      </c>
      <c r="P6" s="1">
        <f t="shared" si="0"/>
        <v>0.38461538461538458</v>
      </c>
      <c r="R6" s="9" t="s">
        <v>43</v>
      </c>
      <c r="S6" s="2">
        <f>'INPUT DATA'!D2</f>
        <v>3.5</v>
      </c>
      <c r="T6" s="7"/>
    </row>
    <row r="7" spans="1:23" x14ac:dyDescent="0.45">
      <c r="A7" s="7"/>
      <c r="B7" s="7"/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3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23" x14ac:dyDescent="0.4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R9" s="15" t="s">
        <v>78</v>
      </c>
      <c r="S9">
        <f>IF(S5&lt;=3,MAX(0.58,1-0.16*(3-S5)^2),
 IF(S5&lt;=4,1-0.11*(S5-3)^2,
 IF(S5&lt;=4.5,0.89-(0.89-INDEX(D6:P6,MATCH(ROUND(S4,1),D1:P1,0)))*(S5-4)/0.5,
 MAX(0.2,INDEX(D6:P6,MATCH(ROUND(S4,1),D1:P1,0))-0.09*(S5-4.5)))))</f>
        <v>0.76960000000000006</v>
      </c>
    </row>
    <row r="10" spans="1:23" x14ac:dyDescent="0.45">
      <c r="A10" s="7" t="s">
        <v>49</v>
      </c>
      <c r="B10" s="7"/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15" t="s">
        <v>79</v>
      </c>
      <c r="S10">
        <f>IF(S6&lt;=3,MAX(0.78,1-0.07*(3-S6)^2),
 IF(S6&lt;=4,1-0.04*(S6-3)^2,
 IF(S6&lt;=4.5,0.955-(0.955-INDEX(D15:P15,MATCH(ROUND(S4,1),D10:P10,0)))*(S6-4)/0.5,
 MAX(0.64,INDEX(D15:P15,MATCH(ROUND(S4,1),D10:P10,0))-0.06*(S6-4.5)))))</f>
        <v>0.99</v>
      </c>
    </row>
    <row r="11" spans="1:23" x14ac:dyDescent="0.45">
      <c r="A11" s="7"/>
      <c r="B11" s="7" t="s">
        <v>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23" x14ac:dyDescent="0.45">
      <c r="A12" s="7"/>
      <c r="B12" s="7">
        <v>3</v>
      </c>
      <c r="C12" s="7"/>
      <c r="D12" s="1">
        <v>4.7</v>
      </c>
      <c r="E12" s="1">
        <v>4.9000000000000004</v>
      </c>
      <c r="F12" s="1">
        <v>5.0999999999999996</v>
      </c>
      <c r="G12" s="1">
        <v>5.3</v>
      </c>
      <c r="H12" s="1">
        <v>5.5</v>
      </c>
      <c r="I12" s="1">
        <v>5.6</v>
      </c>
      <c r="J12" s="1">
        <v>5.7</v>
      </c>
      <c r="K12" s="1">
        <v>5.8</v>
      </c>
      <c r="L12" s="1">
        <v>5.8</v>
      </c>
      <c r="M12" s="1">
        <v>5.8</v>
      </c>
      <c r="N12" s="1">
        <v>5.8</v>
      </c>
      <c r="O12" s="1">
        <v>5.8</v>
      </c>
      <c r="P12" s="1">
        <v>5.8</v>
      </c>
      <c r="R12" t="s">
        <v>31</v>
      </c>
      <c r="S12">
        <f>INDEX(D3:P3,1,MATCH(ROUND(S4,1),D1:P1,0))*S9</f>
        <v>1.9240000000000002</v>
      </c>
    </row>
    <row r="13" spans="1:23" x14ac:dyDescent="0.45">
      <c r="A13" s="7"/>
      <c r="B13" s="7">
        <v>4.5</v>
      </c>
      <c r="C13" s="7"/>
      <c r="D13" s="1">
        <v>2</v>
      </c>
      <c r="E13" s="1">
        <v>2.5</v>
      </c>
      <c r="F13" s="1">
        <v>2.5</v>
      </c>
      <c r="G13" s="1">
        <v>3.5</v>
      </c>
      <c r="H13" s="1">
        <v>3.5</v>
      </c>
      <c r="I13" s="1">
        <v>4.3</v>
      </c>
      <c r="J13" s="1">
        <v>4.7</v>
      </c>
      <c r="K13" s="1">
        <v>5.0999999999999996</v>
      </c>
      <c r="L13" s="1">
        <v>5.4</v>
      </c>
      <c r="M13" s="1">
        <v>3.5</v>
      </c>
      <c r="N13" s="1">
        <v>3.5</v>
      </c>
      <c r="O13" s="1">
        <v>3</v>
      </c>
      <c r="P13" s="1">
        <v>2.5</v>
      </c>
      <c r="R13" t="s">
        <v>80</v>
      </c>
      <c r="S13">
        <f>INDEX(D12:P12,1,MATCH(ROUND(S4,1),D10:P10,0))*S10</f>
        <v>5.742</v>
      </c>
      <c r="V13" t="s">
        <v>81</v>
      </c>
      <c r="W13">
        <f>ROUND(MAX(0,S12-MIN(0.48,1.15*SQRT((W4)^2+(0.7*W5)^2)*(S5/6)^2)),1)</f>
        <v>1.9</v>
      </c>
    </row>
    <row r="14" spans="1:23" x14ac:dyDescent="0.45">
      <c r="A14" s="7"/>
      <c r="B14" s="7"/>
      <c r="C14" s="7"/>
      <c r="V14" t="s">
        <v>82</v>
      </c>
      <c r="W14">
        <f>ROUND(MAX(0,W13*MAX(0.95,1-0.058*MAX(0,S23-0.3)-0.03*MAX(0,S24-0.3))),1)</f>
        <v>1.9</v>
      </c>
    </row>
    <row r="15" spans="1:23" x14ac:dyDescent="0.45">
      <c r="A15" s="7"/>
      <c r="B15" s="7" t="s">
        <v>83</v>
      </c>
      <c r="C15" s="7"/>
      <c r="D15" s="1">
        <f>D13/D12</f>
        <v>0.42553191489361702</v>
      </c>
      <c r="E15" s="1">
        <f t="shared" ref="E15:P15" si="1">E13/E12</f>
        <v>0.51020408163265307</v>
      </c>
      <c r="F15" s="1">
        <f t="shared" si="1"/>
        <v>0.49019607843137258</v>
      </c>
      <c r="G15" s="1">
        <f t="shared" si="1"/>
        <v>0.66037735849056611</v>
      </c>
      <c r="H15" s="1">
        <f t="shared" si="1"/>
        <v>0.63636363636363635</v>
      </c>
      <c r="I15" s="1">
        <f t="shared" si="1"/>
        <v>0.7678571428571429</v>
      </c>
      <c r="J15" s="1">
        <f t="shared" si="1"/>
        <v>0.82456140350877194</v>
      </c>
      <c r="K15" s="1">
        <f t="shared" si="1"/>
        <v>0.87931034482758619</v>
      </c>
      <c r="L15" s="1">
        <f t="shared" si="1"/>
        <v>0.93103448275862077</v>
      </c>
      <c r="M15" s="1">
        <f t="shared" si="1"/>
        <v>0.60344827586206895</v>
      </c>
      <c r="N15" s="1">
        <f t="shared" si="1"/>
        <v>0.60344827586206895</v>
      </c>
      <c r="O15" s="1">
        <f t="shared" si="1"/>
        <v>0.51724137931034486</v>
      </c>
      <c r="P15" s="1">
        <f t="shared" si="1"/>
        <v>0.43103448275862072</v>
      </c>
    </row>
    <row r="16" spans="1:23" x14ac:dyDescent="0.45">
      <c r="A16" s="7"/>
      <c r="B16" s="7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V16" t="s">
        <v>84</v>
      </c>
      <c r="W16">
        <f>ROUND(MAX(0,S13-MIN(3,5.6*SQRT((W4)^2+(0.7*W5)^2)*(S6/6)^3)),1)</f>
        <v>5.7</v>
      </c>
    </row>
    <row r="17" spans="1:23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V17" t="s">
        <v>85</v>
      </c>
      <c r="W17">
        <f>ROUND(MAX(0,W16*MAX(0.85,1-0.29*MAX(0,S23-0.3)-0.19*MAX(0,S24-0.3))),1)</f>
        <v>5.7</v>
      </c>
    </row>
    <row r="18" spans="1:23" x14ac:dyDescent="0.45">
      <c r="A18" s="7"/>
      <c r="B18" s="7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23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23" x14ac:dyDescent="0.45">
      <c r="A20" s="7"/>
      <c r="B20" s="7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V20" t="s">
        <v>86</v>
      </c>
    </row>
    <row r="21" spans="1:23" x14ac:dyDescent="0.45">
      <c r="A21" s="7"/>
      <c r="B21" s="7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V21" t="str">
        <f>IF(W48&lt;0.75,"Distance only / No functional near",
IF(W48&lt;1.25,"Weak intermediate, poor near",
IF(W48&lt;1.75,"Functional intermediate, limited near",
IF(W48&lt;2.25,"Good intermediate and near",
"Excellent near performance"))))</f>
        <v>Functional intermediate, limited near</v>
      </c>
    </row>
    <row r="22" spans="1:23" x14ac:dyDescent="0.45">
      <c r="A22" s="7"/>
      <c r="B22" s="7"/>
      <c r="C22" s="7"/>
    </row>
    <row r="23" spans="1:23" x14ac:dyDescent="0.45">
      <c r="A23" s="7"/>
      <c r="B23" s="7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R23" s="12" t="s">
        <v>3</v>
      </c>
      <c r="S23" s="12">
        <f>'INPUT DATA'!E2</f>
        <v>0.1</v>
      </c>
      <c r="V23" t="s">
        <v>87</v>
      </c>
    </row>
    <row r="24" spans="1:23" x14ac:dyDescent="0.45">
      <c r="R24" s="12" t="s">
        <v>4</v>
      </c>
      <c r="S24" s="12">
        <f>'INPUT DATA'!F2</f>
        <v>0.25</v>
      </c>
      <c r="V24">
        <f>ROUND(IF(W17&gt;=6,10,IF(W17&gt;=4,7+((W17-4)/2)*3,IF(W17&gt;=3,5+((W17-3)/1)*2,IF(W17&gt;=2,3+((W17-2)/1)*2,MAX(0,(W17/2)*3))))),1)</f>
        <v>9.6</v>
      </c>
    </row>
    <row r="26" spans="1:23" x14ac:dyDescent="0.45">
      <c r="V26" t="s">
        <v>24</v>
      </c>
    </row>
    <row r="27" spans="1:23" x14ac:dyDescent="0.45">
      <c r="V27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Very good visual quality in bright lighting; noticeable decline in low-light environments</v>
      </c>
    </row>
    <row r="28" spans="1:23" x14ac:dyDescent="0.45">
      <c r="V28" t="s">
        <v>88</v>
      </c>
    </row>
    <row r="29" spans="1:23" x14ac:dyDescent="0.45">
      <c r="V29">
        <f>ROUND(MIN(10,W14*3.4),1)</f>
        <v>6.5</v>
      </c>
    </row>
    <row r="31" spans="1:23" x14ac:dyDescent="0.45">
      <c r="V31" t="s">
        <v>114</v>
      </c>
    </row>
    <row r="32" spans="1:23" x14ac:dyDescent="0.45">
      <c r="V32">
        <f>'DYSPHOTOPSIA SCORES'!E26</f>
        <v>5.3</v>
      </c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4" spans="22:23" x14ac:dyDescent="0.45">
      <c r="V44" s="7"/>
      <c r="W44" s="7"/>
    </row>
    <row r="45" spans="22:23" x14ac:dyDescent="0.45">
      <c r="V45" s="7"/>
      <c r="W45" s="7"/>
    </row>
    <row r="46" spans="22:23" x14ac:dyDescent="0.45">
      <c r="V46" s="7"/>
      <c r="W46" s="7"/>
    </row>
    <row r="47" spans="22:23" x14ac:dyDescent="0.45">
      <c r="V47" s="35" t="s">
        <v>115</v>
      </c>
      <c r="W47" s="35">
        <f>ROUND(W17*(1-(1-(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))*1.25),1)</f>
        <v>4.7</v>
      </c>
    </row>
    <row r="48" spans="22:23" x14ac:dyDescent="0.45">
      <c r="V48" s="35" t="s">
        <v>116</v>
      </c>
      <c r="W48" s="35">
        <f>ROUND(W14*(1-(1-(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))*1.25),2)</f>
        <v>1.69</v>
      </c>
    </row>
  </sheetData>
  <mergeCells count="2">
    <mergeCell ref="R1:T1"/>
    <mergeCell ref="R3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E9AB-9CC9-41D6-B569-63E42397859F}">
  <dimension ref="A1:H39"/>
  <sheetViews>
    <sheetView topLeftCell="A10" workbookViewId="0">
      <selection activeCell="L24" sqref="L24"/>
    </sheetView>
  </sheetViews>
  <sheetFormatPr defaultRowHeight="14.25" x14ac:dyDescent="0.45"/>
  <cols>
    <col min="3" max="3" width="10.86328125" bestFit="1" customWidth="1"/>
    <col min="4" max="4" width="19" bestFit="1" customWidth="1"/>
    <col min="5" max="5" width="29.86328125" bestFit="1" customWidth="1"/>
    <col min="7" max="7" width="23" customWidth="1"/>
  </cols>
  <sheetData>
    <row r="1" spans="1:8" x14ac:dyDescent="0.45">
      <c r="A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110</v>
      </c>
      <c r="H1" t="s">
        <v>109</v>
      </c>
    </row>
    <row r="2" spans="1:8" x14ac:dyDescent="0.45">
      <c r="A2">
        <f>'INPUT DATA'!D2</f>
        <v>3.5</v>
      </c>
      <c r="C2">
        <f>'INPUT DATA'!H2</f>
        <v>0.06</v>
      </c>
      <c r="D2">
        <f>'INPUT DATA'!I2</f>
        <v>0.05</v>
      </c>
      <c r="E2">
        <f>'INPUT DATA'!E2</f>
        <v>0.1</v>
      </c>
      <c r="F2">
        <f>'INPUT DATA'!F2</f>
        <v>0.25</v>
      </c>
      <c r="G2">
        <f>ROUND(SQRT((1.5*$H$2)^2+$C$2^2+$D$2^2),3)</f>
        <v>0.53100000000000003</v>
      </c>
      <c r="H2">
        <f>'INPUT DATA'!G2</f>
        <v>0.35</v>
      </c>
    </row>
    <row r="4" spans="1:8" x14ac:dyDescent="0.45">
      <c r="C4" s="16"/>
      <c r="D4" s="16" t="s">
        <v>99</v>
      </c>
      <c r="E4" s="16" t="s">
        <v>100</v>
      </c>
      <c r="F4" s="16" t="s">
        <v>44</v>
      </c>
    </row>
    <row r="5" spans="1:8" x14ac:dyDescent="0.45">
      <c r="C5" s="16" t="s">
        <v>92</v>
      </c>
      <c r="D5" s="17">
        <v>1</v>
      </c>
      <c r="E5" s="17">
        <v>1.5</v>
      </c>
      <c r="F5" s="17">
        <v>2.2999999999999998</v>
      </c>
    </row>
    <row r="6" spans="1:8" x14ac:dyDescent="0.45">
      <c r="C6" s="16" t="s">
        <v>93</v>
      </c>
      <c r="D6" s="17">
        <v>1.1000000000000001</v>
      </c>
      <c r="E6" s="17">
        <v>1.6</v>
      </c>
      <c r="F6" s="17">
        <v>2.5</v>
      </c>
    </row>
    <row r="7" spans="1:8" x14ac:dyDescent="0.45">
      <c r="C7" s="16" t="s">
        <v>94</v>
      </c>
      <c r="D7" s="17">
        <v>1.3</v>
      </c>
      <c r="E7" s="17">
        <v>1.8</v>
      </c>
      <c r="F7" s="17">
        <v>2.8</v>
      </c>
    </row>
    <row r="8" spans="1:8" x14ac:dyDescent="0.45">
      <c r="C8" s="16" t="s">
        <v>95</v>
      </c>
      <c r="D8" s="17">
        <v>2</v>
      </c>
      <c r="E8" s="17">
        <v>2.5</v>
      </c>
      <c r="F8" s="17">
        <v>3.2</v>
      </c>
    </row>
    <row r="9" spans="1:8" x14ac:dyDescent="0.45">
      <c r="C9" s="16" t="s">
        <v>26</v>
      </c>
      <c r="D9" s="17">
        <v>2.1</v>
      </c>
      <c r="E9" s="17">
        <v>2.6</v>
      </c>
      <c r="F9" s="17">
        <v>3.5</v>
      </c>
    </row>
    <row r="10" spans="1:8" x14ac:dyDescent="0.45">
      <c r="C10" s="16" t="s">
        <v>91</v>
      </c>
      <c r="D10" s="17">
        <v>3.2</v>
      </c>
      <c r="E10" s="17">
        <v>4</v>
      </c>
      <c r="F10" s="17">
        <v>5</v>
      </c>
    </row>
    <row r="11" spans="1:8" x14ac:dyDescent="0.45">
      <c r="C11" s="16" t="s">
        <v>96</v>
      </c>
      <c r="D11" s="17">
        <v>6</v>
      </c>
      <c r="E11" s="17">
        <v>7</v>
      </c>
      <c r="F11" s="17">
        <v>8</v>
      </c>
    </row>
    <row r="12" spans="1:8" x14ac:dyDescent="0.45">
      <c r="C12" s="16" t="s">
        <v>97</v>
      </c>
      <c r="D12" s="17">
        <v>6.4</v>
      </c>
      <c r="E12" s="17">
        <v>7.6</v>
      </c>
      <c r="F12" s="17">
        <v>8.8000000000000007</v>
      </c>
    </row>
    <row r="13" spans="1:8" x14ac:dyDescent="0.45">
      <c r="C13" s="16" t="s">
        <v>98</v>
      </c>
      <c r="D13" s="17">
        <v>6.8</v>
      </c>
      <c r="E13" s="17">
        <v>7.8</v>
      </c>
      <c r="F13" s="17">
        <v>9</v>
      </c>
    </row>
    <row r="18" spans="2:6" x14ac:dyDescent="0.45">
      <c r="C18" t="s">
        <v>106</v>
      </c>
      <c r="D18" t="s">
        <v>111</v>
      </c>
      <c r="E18" t="s">
        <v>107</v>
      </c>
      <c r="F18" t="s">
        <v>117</v>
      </c>
    </row>
    <row r="19" spans="2:6" x14ac:dyDescent="0.45">
      <c r="B19" s="16" t="s">
        <v>92</v>
      </c>
      <c r="C19" s="18">
        <f>IF(ABS($H$2-0.15)&lt;=0.1,0,IF(ABS($H$2-0.15)&lt;=0.25,0.4,IF(ABS($H$2-0.15)&lt;=0.5,0.8,1.5)))</f>
        <v>0.4</v>
      </c>
      <c r="D19" s="18">
        <f>(ROUND(MAX(0,(($A$2-3)^2)*0.08*C19),2))+C19</f>
        <v>0.41000000000000003</v>
      </c>
      <c r="E19" s="18">
        <f>ROUND(MIN(10,
D19 +
((0.6*$G$2)+(1.2*MAX(0,$E$2-0.2))+(0.6*MAX(0,$F$2-0.2))) *
(0.5 + 0.05*D19)
),1)</f>
        <v>0.6</v>
      </c>
      <c r="F19">
        <f>ROUND(MIN(10,
E19+
(
0.6*CHOOSE(IFERROR(INDEX($F$35:$F$39,MATCH("DRY EYE DISEASE",$E$35:$E$39,0)),0)+1,0,0.5,1.5,3)+
0.5*CHOOSE(IFERROR(INDEX($F$35:$F$39,MATCH("MACULAR PATHOLOGY",$E$35:$E$39,0)),0)+1,0,0.3,0.8,1.5)+
0.5*CHOOSE(IFERROR(INDEX($F$35:$F$39,MATCH("DIABETIC RETINOPATHY",$E$35:$E$39,0)),0)+1,0,0.2,0.5,1)+
0.5*CHOOSE(IFERROR(INDEX($F$35:$F$39,MATCH("GLAUCOMA",$E$35:$E$39,0)),0)+1,0,0.2,0.5,1)+
0.6*CHOOSE(IFERROR(INDEX($F$35:$F$39,MATCH("CORNEAL ENDOTHELIAL DISEASE",$E$35:$E$39,0)),0)+1,0,0.8,2,4)+
IF(AND(
IFERROR(INDEX($F$35:$F$39,MATCH("DRY EYE DISEASE",$E$35:$E$39,0)),0)&gt;=2,
IFERROR(INDEX($F$35:$F$39,MATCH("CORNEAL ENDOTHELIAL DISEASE",$E$35:$E$39,0)),0)&gt;=2
),0.5,0)
)
*
IF(B19="NEG ASP",0.75,
IF(B19="ZERO ASP",0.78,
IF(B19="SPH",0.8,
IF(B19="EMV",0.85,
IF(B19="EYHANCE",0.9,
IF(B19="VIVITY",1,
IF(B19="GEME",1.1,
IF(B19="ATLISA",1.15,
IF(B19="PANOP",1.2,1)))))))))
),1)</f>
        <v>1.2</v>
      </c>
    </row>
    <row r="20" spans="2:6" x14ac:dyDescent="0.45">
      <c r="B20" s="16" t="s">
        <v>93</v>
      </c>
      <c r="C20" s="18">
        <f>IF(ABS($H$2)&lt;=0.1,0,IF(ABS($H$2)&lt;=0.25,0.4,IF(ABS($H$2)&lt;=0.5,0.8,1.5)))</f>
        <v>0.8</v>
      </c>
      <c r="D20" s="18">
        <f t="shared" ref="D20:D27" si="0">(ROUND(MAX(0,(($A$2-3)^2)*0.08*C20),2))+C20</f>
        <v>0.82000000000000006</v>
      </c>
      <c r="E20" s="18">
        <f t="shared" ref="E20:E27" si="1">ROUND(MIN(10,
D20 +
((0.6*$G$2)+(1.2*MAX(0,$E$2-0.2))+(0.6*MAX(0,$F$2-0.2))) *
(0.5 + 0.05*D20)
),1)</f>
        <v>1</v>
      </c>
      <c r="F20">
        <f t="shared" ref="F20:F27" si="2">ROUND(MIN(10,
E20+
(
0.6*CHOOSE(IFERROR(INDEX($F$35:$F$39,MATCH("DRY EYE DISEASE",$E$35:$E$39,0)),0)+1,0,0.5,1.5,3)+
0.5*CHOOSE(IFERROR(INDEX($F$35:$F$39,MATCH("MACULAR PATHOLOGY",$E$35:$E$39,0)),0)+1,0,0.3,0.8,1.5)+
0.5*CHOOSE(IFERROR(INDEX($F$35:$F$39,MATCH("DIABETIC RETINOPATHY",$E$35:$E$39,0)),0)+1,0,0.2,0.5,1)+
0.5*CHOOSE(IFERROR(INDEX($F$35:$F$39,MATCH("GLAUCOMA",$E$35:$E$39,0)),0)+1,0,0.2,0.5,1)+
0.6*CHOOSE(IFERROR(INDEX($F$35:$F$39,MATCH("CORNEAL ENDOTHELIAL DISEASE",$E$35:$E$39,0)),0)+1,0,0.8,2,4)+
IF(AND(
IFERROR(INDEX($F$35:$F$39,MATCH("DRY EYE DISEASE",$E$35:$E$39,0)),0)&gt;=2,
IFERROR(INDEX($F$35:$F$39,MATCH("CORNEAL ENDOTHELIAL DISEASE",$E$35:$E$39,0)),0)&gt;=2
),0.5,0)
)
*
IF(B20="NEG ASP",0.75,
IF(B20="ZERO ASP",0.78,
IF(B20="SPH",0.8,
IF(B20="EMV",0.85,
IF(B20="EYHANCE",0.9,
IF(B20="VIVITY",1,
IF(B20="GEME",1.1,
IF(B20="ATLISA",1.15,
IF(B20="PANOP",1.2,1)))))))))
),1)</f>
        <v>1.6</v>
      </c>
    </row>
    <row r="21" spans="2:6" x14ac:dyDescent="0.45">
      <c r="B21" s="16" t="s">
        <v>94</v>
      </c>
      <c r="C21" s="18">
        <f>IF(ABS($H$2+0.15)&lt;=0.1,0,IF(ABS($H$2+0.15)&lt;=0.25,0.4,IF(ABS($H$2+0.15)&lt;=0.5,0.8,1.5)))</f>
        <v>0.8</v>
      </c>
      <c r="D21" s="18">
        <f t="shared" si="0"/>
        <v>0.82000000000000006</v>
      </c>
      <c r="E21" s="18">
        <f t="shared" si="1"/>
        <v>1</v>
      </c>
      <c r="F21">
        <f t="shared" si="2"/>
        <v>1.6</v>
      </c>
    </row>
    <row r="22" spans="2:6" x14ac:dyDescent="0.45">
      <c r="B22" s="16" t="s">
        <v>95</v>
      </c>
      <c r="C22" s="18">
        <v>2</v>
      </c>
      <c r="D22" s="18">
        <f t="shared" si="0"/>
        <v>2.04</v>
      </c>
      <c r="E22" s="18">
        <f t="shared" si="1"/>
        <v>2.2000000000000002</v>
      </c>
      <c r="F22">
        <f t="shared" si="2"/>
        <v>2.9</v>
      </c>
    </row>
    <row r="23" spans="2:6" x14ac:dyDescent="0.45">
      <c r="B23" s="16" t="s">
        <v>26</v>
      </c>
      <c r="C23" s="18">
        <v>2.2000000000000002</v>
      </c>
      <c r="D23" s="18">
        <f t="shared" si="0"/>
        <v>2.2400000000000002</v>
      </c>
      <c r="E23" s="18">
        <f t="shared" si="1"/>
        <v>2.5</v>
      </c>
      <c r="F23">
        <f t="shared" si="2"/>
        <v>3.2</v>
      </c>
    </row>
    <row r="24" spans="2:6" x14ac:dyDescent="0.45">
      <c r="B24" s="16" t="s">
        <v>91</v>
      </c>
      <c r="C24" s="18">
        <v>3.4</v>
      </c>
      <c r="D24" s="18">
        <f t="shared" si="0"/>
        <v>3.4699999999999998</v>
      </c>
      <c r="E24" s="18">
        <f t="shared" si="1"/>
        <v>3.7</v>
      </c>
      <c r="F24">
        <f t="shared" si="2"/>
        <v>4.5</v>
      </c>
    </row>
    <row r="25" spans="2:6" x14ac:dyDescent="0.45">
      <c r="B25" s="16" t="s">
        <v>96</v>
      </c>
      <c r="C25" s="18">
        <v>4.5999999999999996</v>
      </c>
      <c r="D25" s="18">
        <f t="shared" si="0"/>
        <v>4.6899999999999995</v>
      </c>
      <c r="E25" s="18">
        <f t="shared" si="1"/>
        <v>4.9000000000000004</v>
      </c>
      <c r="F25">
        <f t="shared" si="2"/>
        <v>5.8</v>
      </c>
    </row>
    <row r="26" spans="2:6" x14ac:dyDescent="0.45">
      <c r="B26" s="16" t="s">
        <v>97</v>
      </c>
      <c r="C26" s="18">
        <v>4.9000000000000004</v>
      </c>
      <c r="D26" s="18">
        <f t="shared" si="0"/>
        <v>5</v>
      </c>
      <c r="E26" s="18">
        <f t="shared" si="1"/>
        <v>5.3</v>
      </c>
      <c r="F26">
        <f t="shared" si="2"/>
        <v>6.2</v>
      </c>
    </row>
    <row r="27" spans="2:6" x14ac:dyDescent="0.45">
      <c r="B27" s="16" t="s">
        <v>98</v>
      </c>
      <c r="C27" s="18">
        <v>5.0999999999999996</v>
      </c>
      <c r="D27" s="18">
        <f t="shared" si="0"/>
        <v>5.1999999999999993</v>
      </c>
      <c r="E27" s="18">
        <f t="shared" si="1"/>
        <v>5.5</v>
      </c>
      <c r="F27">
        <f t="shared" si="2"/>
        <v>6.4</v>
      </c>
    </row>
    <row r="34" spans="5:6" x14ac:dyDescent="0.45">
      <c r="E34" s="13" t="str" cm="1">
        <f t="array" ref="E34:F39">'INPUT DATA'!J1:K6</f>
        <v>OCULAR PATHOLOGIES</v>
      </c>
      <c r="F34" s="13" t="str">
        <v>GRADE</v>
      </c>
    </row>
    <row r="35" spans="5:6" x14ac:dyDescent="0.45">
      <c r="E35" s="13" t="str">
        <v>CORNEAL ENDOTHELIAL DISEASE</v>
      </c>
      <c r="F35" s="13">
        <v>1</v>
      </c>
    </row>
    <row r="36" spans="5:6" x14ac:dyDescent="0.45">
      <c r="E36" s="13" t="str">
        <v>DRY EYE DISEASE</v>
      </c>
      <c r="F36" s="13">
        <v>1</v>
      </c>
    </row>
    <row r="37" spans="5:6" x14ac:dyDescent="0.45">
      <c r="E37" s="13">
        <v>0</v>
      </c>
      <c r="F37" s="13">
        <v>0</v>
      </c>
    </row>
    <row r="38" spans="5:6" x14ac:dyDescent="0.45">
      <c r="E38" s="13">
        <v>0</v>
      </c>
      <c r="F38" s="13">
        <v>0</v>
      </c>
    </row>
    <row r="39" spans="5:6" x14ac:dyDescent="0.45">
      <c r="E39" s="13">
        <v>0</v>
      </c>
      <c r="F39" s="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D570-EF06-4E6B-A6E5-155E7D71EBB4}">
  <dimension ref="A1:W48"/>
  <sheetViews>
    <sheetView topLeftCell="P12" zoomScale="120" zoomScaleNormal="120" workbookViewId="0">
      <selection activeCell="W29" sqref="W29"/>
    </sheetView>
  </sheetViews>
  <sheetFormatPr defaultColWidth="9" defaultRowHeight="14.25" x14ac:dyDescent="0.45"/>
  <cols>
    <col min="1" max="1" width="9.3984375" style="7" customWidth="1"/>
    <col min="2" max="2" width="14.3984375" style="7" bestFit="1" customWidth="1"/>
    <col min="3" max="3" width="15.59765625" style="7" customWidth="1"/>
    <col min="4" max="14" width="9" style="7"/>
    <col min="15" max="15" width="9.265625" style="7" customWidth="1"/>
    <col min="16" max="16" width="10.73046875" style="7" customWidth="1"/>
    <col min="17" max="17" width="9" style="7"/>
    <col min="18" max="18" width="18" style="7" customWidth="1"/>
    <col min="19" max="19" width="16" style="7" customWidth="1"/>
    <col min="20" max="20" width="14" style="7" customWidth="1"/>
    <col min="21" max="21" width="16" style="7" customWidth="1"/>
    <col min="22" max="22" width="42" style="7" customWidth="1"/>
    <col min="23" max="23" width="28.1328125" style="7" customWidth="1"/>
    <col min="24" max="24" width="9" style="7"/>
    <col min="25" max="25" width="17.3984375" style="7" customWidth="1"/>
    <col min="26" max="16384" width="9" style="7"/>
  </cols>
  <sheetData>
    <row r="1" spans="1:23" ht="12" customHeight="1" x14ac:dyDescent="0.45">
      <c r="A1" s="7" t="s">
        <v>31</v>
      </c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ht="10.15" customHeight="1" x14ac:dyDescent="0.45">
      <c r="B2" s="7" t="s">
        <v>1</v>
      </c>
    </row>
    <row r="3" spans="1:23" ht="11.1" customHeight="1" x14ac:dyDescent="0.45">
      <c r="B3" s="7">
        <v>2</v>
      </c>
      <c r="D3" s="1">
        <v>2.25</v>
      </c>
      <c r="E3" s="1">
        <v>2.25</v>
      </c>
      <c r="F3" s="1">
        <v>2.25</v>
      </c>
      <c r="G3" s="1">
        <v>2.25</v>
      </c>
      <c r="H3" s="1">
        <v>2.25</v>
      </c>
      <c r="I3" s="1">
        <v>2.5</v>
      </c>
      <c r="J3" s="1">
        <v>2.2000000000000002</v>
      </c>
      <c r="K3" s="1">
        <v>2.5</v>
      </c>
      <c r="L3" s="1">
        <v>2.5</v>
      </c>
      <c r="M3" s="1">
        <v>2.5</v>
      </c>
      <c r="N3" s="1">
        <v>2.25</v>
      </c>
      <c r="O3" s="1">
        <v>2.25</v>
      </c>
      <c r="P3" s="1">
        <v>2.25</v>
      </c>
      <c r="R3" s="49" t="s">
        <v>35</v>
      </c>
      <c r="S3" s="49"/>
      <c r="T3" s="49"/>
    </row>
    <row r="4" spans="1:23" ht="10.15" customHeight="1" x14ac:dyDescent="0.45">
      <c r="B4" s="7">
        <v>3</v>
      </c>
      <c r="D4" s="1">
        <v>2</v>
      </c>
      <c r="E4" s="1">
        <v>2</v>
      </c>
      <c r="F4" s="1">
        <v>1.9</v>
      </c>
      <c r="G4" s="1">
        <v>1.8</v>
      </c>
      <c r="H4" s="1">
        <v>1.7</v>
      </c>
      <c r="I4" s="1">
        <v>1.8</v>
      </c>
      <c r="J4" s="1">
        <v>1.8</v>
      </c>
      <c r="K4" s="1">
        <v>1.9</v>
      </c>
      <c r="L4" s="1">
        <v>1.9</v>
      </c>
      <c r="M4" s="1">
        <v>1.8</v>
      </c>
      <c r="N4" s="1">
        <v>1.7</v>
      </c>
      <c r="O4" s="1">
        <v>1.6</v>
      </c>
      <c r="P4" s="1">
        <v>1.5</v>
      </c>
      <c r="R4" s="9" t="s">
        <v>37</v>
      </c>
      <c r="S4" s="2">
        <f>'INPUT DATA'!G2</f>
        <v>0.35</v>
      </c>
      <c r="V4" s="10" t="s">
        <v>38</v>
      </c>
      <c r="W4" s="10">
        <f>'INPUT DATA'!H2</f>
        <v>0.06</v>
      </c>
    </row>
    <row r="5" spans="1:23" ht="10.15" customHeight="1" x14ac:dyDescent="0.45">
      <c r="B5" s="7">
        <v>4</v>
      </c>
      <c r="D5" s="1">
        <v>0.5</v>
      </c>
      <c r="E5" s="1">
        <v>0.75</v>
      </c>
      <c r="F5" s="1">
        <v>1</v>
      </c>
      <c r="G5" s="1">
        <v>1.1000000000000001</v>
      </c>
      <c r="H5" s="1">
        <v>1.2</v>
      </c>
      <c r="I5" s="1">
        <v>1</v>
      </c>
      <c r="J5" s="1">
        <v>1.2</v>
      </c>
      <c r="K5" s="1">
        <v>1.3</v>
      </c>
      <c r="L5" s="1">
        <v>1.4</v>
      </c>
      <c r="M5" s="1">
        <v>1.5</v>
      </c>
      <c r="N5" s="1">
        <v>1.2</v>
      </c>
      <c r="O5" s="1">
        <v>1</v>
      </c>
      <c r="P5" s="1">
        <v>0.75</v>
      </c>
      <c r="R5" s="9" t="s">
        <v>40</v>
      </c>
      <c r="S5" s="2">
        <f>'INPUT DATA'!C2</f>
        <v>1.8</v>
      </c>
      <c r="V5" s="10" t="s">
        <v>41</v>
      </c>
      <c r="W5" s="10">
        <f>'INPUT DATA'!I2</f>
        <v>0.05</v>
      </c>
    </row>
    <row r="6" spans="1:23" ht="10.15" customHeight="1" x14ac:dyDescent="0.45">
      <c r="B6" s="7">
        <v>5</v>
      </c>
      <c r="D6" s="1">
        <v>0.5</v>
      </c>
      <c r="E6" s="1">
        <v>0.5</v>
      </c>
      <c r="F6" s="1">
        <v>0.5</v>
      </c>
      <c r="G6" s="1">
        <v>0.5</v>
      </c>
      <c r="H6" s="1">
        <v>0.5</v>
      </c>
      <c r="I6" s="1">
        <v>0.75</v>
      </c>
      <c r="J6" s="1">
        <v>0.75</v>
      </c>
      <c r="K6" s="1">
        <v>0.75</v>
      </c>
      <c r="L6" s="1">
        <v>1</v>
      </c>
      <c r="M6" s="1">
        <v>1</v>
      </c>
      <c r="N6" s="1">
        <v>0.75</v>
      </c>
      <c r="O6" s="1">
        <v>0.75</v>
      </c>
      <c r="P6" s="1">
        <v>0.75</v>
      </c>
      <c r="R6" s="9" t="s">
        <v>43</v>
      </c>
      <c r="S6" s="2">
        <f>'INPUT DATA'!D2</f>
        <v>3.5</v>
      </c>
    </row>
    <row r="7" spans="1:23" ht="10.15" customHeight="1" x14ac:dyDescent="0.4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3" ht="10.15" customHeight="1" x14ac:dyDescent="0.45">
      <c r="R8" s="9" t="s">
        <v>45</v>
      </c>
      <c r="S8" s="3">
        <f>MIN($P$1,MAX($D$1,ROUND(S4,1)))</f>
        <v>0.4</v>
      </c>
      <c r="T8" s="4" t="s">
        <v>46</v>
      </c>
    </row>
    <row r="9" spans="1:23" ht="10.15" customHeight="1" x14ac:dyDescent="0.45">
      <c r="R9" s="9" t="s">
        <v>47</v>
      </c>
      <c r="S9" s="4">
        <f>IF(S5&lt;=3,1,IF(S5&lt;=4.4,2,3))</f>
        <v>1</v>
      </c>
      <c r="T9" s="4" t="s">
        <v>74</v>
      </c>
    </row>
    <row r="10" spans="1:23" ht="10.15" customHeight="1" x14ac:dyDescent="0.45">
      <c r="A10" s="7" t="s">
        <v>49</v>
      </c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9" t="s">
        <v>50</v>
      </c>
      <c r="S10" s="4">
        <f>IF(S6&lt;=3,1,IF(S6&lt;=4.4,2,3))</f>
        <v>2</v>
      </c>
      <c r="T10" s="4" t="s">
        <v>74</v>
      </c>
    </row>
    <row r="11" spans="1:23" ht="10.15" customHeight="1" x14ac:dyDescent="0.45">
      <c r="B11" s="7" t="s">
        <v>2</v>
      </c>
      <c r="V11" s="10" t="s">
        <v>75</v>
      </c>
      <c r="W11" s="7" t="s">
        <v>76</v>
      </c>
    </row>
    <row r="12" spans="1:23" ht="11.1" customHeight="1" x14ac:dyDescent="0.45">
      <c r="B12" s="7">
        <v>2</v>
      </c>
      <c r="D12" s="7">
        <v>4.8</v>
      </c>
      <c r="E12" s="7">
        <v>4.8</v>
      </c>
      <c r="F12" s="7">
        <v>4.8</v>
      </c>
      <c r="G12" s="7">
        <v>4.8</v>
      </c>
      <c r="H12" s="7">
        <v>4.8</v>
      </c>
      <c r="I12" s="7">
        <v>5</v>
      </c>
      <c r="J12" s="7">
        <v>5</v>
      </c>
      <c r="K12" s="7">
        <v>5</v>
      </c>
      <c r="L12" s="7">
        <v>5</v>
      </c>
      <c r="M12" s="7">
        <v>5</v>
      </c>
      <c r="N12" s="7">
        <v>4.8</v>
      </c>
      <c r="O12" s="7">
        <v>4.8</v>
      </c>
      <c r="P12" s="7">
        <v>4.8</v>
      </c>
      <c r="R12" s="49" t="s">
        <v>54</v>
      </c>
      <c r="S12" s="49"/>
      <c r="T12" s="49"/>
      <c r="V12" s="10">
        <f>ROUND((S13+ MIN(0.45,1*SQRT((W4)^2+(0.7*W5)^2)*(S5/6)^3))*W12,2)</f>
        <v>2.5</v>
      </c>
      <c r="W12" s="7">
        <f>IF(S23&lt;=0.25,1,
 IF(S23&lt;=0.35,1-((S23-0.25)/0.1)*0.08,
 IF(S23&lt;=0.4,0.92-((S23-0.35)/0.05)*0.12,
 0.8)))</f>
        <v>1</v>
      </c>
    </row>
    <row r="13" spans="1:23" ht="10.15" customHeight="1" x14ac:dyDescent="0.45">
      <c r="B13" s="7">
        <v>3</v>
      </c>
      <c r="D13" s="1">
        <v>3</v>
      </c>
      <c r="E13" s="1">
        <v>3.5</v>
      </c>
      <c r="F13" s="1">
        <v>3.8</v>
      </c>
      <c r="G13" s="1">
        <v>4</v>
      </c>
      <c r="H13" s="1">
        <v>4.2</v>
      </c>
      <c r="I13" s="1">
        <v>4.2</v>
      </c>
      <c r="J13" s="1">
        <v>4</v>
      </c>
      <c r="K13" s="1">
        <v>3.9</v>
      </c>
      <c r="L13" s="1">
        <v>3.7</v>
      </c>
      <c r="M13" s="1">
        <v>3.5</v>
      </c>
      <c r="N13" s="1">
        <v>3.5</v>
      </c>
      <c r="O13" s="1">
        <v>3.5</v>
      </c>
      <c r="P13" s="1">
        <v>3.5</v>
      </c>
      <c r="R13" s="9" t="s">
        <v>56</v>
      </c>
      <c r="S13" s="5">
        <f>ROUND(
INDEX($D$3:$P$6,
MATCH(MAX(2,MIN(5,S5)),$B$3:$B$6,1),
MATCH(MAX(-0.5,MIN(1,S4)),$D$1:$P$1,1)
),
2)</f>
        <v>2.5</v>
      </c>
      <c r="T13" s="4" t="s">
        <v>57</v>
      </c>
    </row>
    <row r="14" spans="1:23" ht="10.15" customHeight="1" x14ac:dyDescent="0.45">
      <c r="B14" s="7">
        <v>4</v>
      </c>
      <c r="D14" s="7">
        <v>4</v>
      </c>
      <c r="E14" s="7">
        <v>4</v>
      </c>
      <c r="F14" s="7">
        <v>4.5</v>
      </c>
      <c r="G14" s="7">
        <v>4.5</v>
      </c>
      <c r="H14" s="7">
        <v>4.5</v>
      </c>
      <c r="I14" s="7">
        <v>5</v>
      </c>
      <c r="J14" s="7">
        <v>5</v>
      </c>
      <c r="K14" s="7">
        <v>5</v>
      </c>
      <c r="L14" s="7">
        <v>4.5</v>
      </c>
      <c r="M14" s="7">
        <v>3.5</v>
      </c>
      <c r="N14" s="7">
        <v>3.5</v>
      </c>
      <c r="O14" s="7">
        <v>3.5</v>
      </c>
      <c r="P14" s="7">
        <v>3.5</v>
      </c>
      <c r="R14" s="9" t="s">
        <v>59</v>
      </c>
      <c r="S14" s="5">
        <f>ROUND(
INDEX($D$12:$P$15,
MATCH(MAX(2,MIN(5,S6)),$B$12:$B$15,1),
MATCH(MAX(-0.5,MIN(1,S4)),$D$10:$P$10,1)
),
2)</f>
        <v>3.7</v>
      </c>
      <c r="T14" s="4" t="s">
        <v>60</v>
      </c>
      <c r="V14" s="10" t="s">
        <v>61</v>
      </c>
    </row>
    <row r="15" spans="1:23" ht="10.15" customHeight="1" x14ac:dyDescent="0.45">
      <c r="B15" s="7">
        <v>5</v>
      </c>
      <c r="D15" s="1">
        <v>2</v>
      </c>
      <c r="E15" s="1">
        <v>2.5</v>
      </c>
      <c r="F15" s="1">
        <v>3</v>
      </c>
      <c r="G15" s="1">
        <v>3.5</v>
      </c>
      <c r="H15" s="1">
        <v>4</v>
      </c>
      <c r="I15" s="1">
        <v>4.5</v>
      </c>
      <c r="J15" s="1">
        <v>4.5</v>
      </c>
      <c r="K15" s="1">
        <v>3.2</v>
      </c>
      <c r="L15" s="1">
        <v>3</v>
      </c>
      <c r="M15" s="1">
        <v>3</v>
      </c>
      <c r="N15" s="1">
        <v>2.5</v>
      </c>
      <c r="O15" s="1">
        <v>2.5</v>
      </c>
      <c r="P15" s="1">
        <v>2</v>
      </c>
      <c r="V15" s="10">
        <f>ROUND(MIN(10,V12*3.4),1)</f>
        <v>8.5</v>
      </c>
    </row>
    <row r="16" spans="1:23" ht="10.15" customHeight="1" x14ac:dyDescent="0.4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8" t="s">
        <v>63</v>
      </c>
      <c r="S16" s="8"/>
      <c r="T16" s="8"/>
    </row>
    <row r="17" spans="18:23" ht="10.15" customHeight="1" x14ac:dyDescent="0.45">
      <c r="R17" s="11" t="s">
        <v>64</v>
      </c>
      <c r="S17" s="11"/>
      <c r="T17" s="11"/>
      <c r="V17" s="10" t="s">
        <v>65</v>
      </c>
    </row>
    <row r="18" spans="18:23" ht="10.15" customHeight="1" x14ac:dyDescent="0.45">
      <c r="R18" s="11" t="s">
        <v>66</v>
      </c>
      <c r="S18" s="11"/>
      <c r="T18" s="11"/>
      <c r="V18" s="10" t="str">
        <f>IF(W48&lt;0.75,"Distance only / No functional near",
IF(W48&lt;1.25,"Weak intermediate, poor near",
IF(W48&lt;1.75,"Functional intermediate, limited near",
IF(W48&lt;2.25,"Good intermediate and near",
"Excellent near performance"))))</f>
        <v>Excellent near performance</v>
      </c>
    </row>
    <row r="19" spans="18:23" ht="10.15" customHeight="1" x14ac:dyDescent="0.45">
      <c r="R19" s="11" t="s">
        <v>67</v>
      </c>
      <c r="S19" s="11"/>
      <c r="T19" s="11"/>
    </row>
    <row r="20" spans="18:23" x14ac:dyDescent="0.45">
      <c r="V20" s="7" t="s">
        <v>68</v>
      </c>
    </row>
    <row r="21" spans="18:23" x14ac:dyDescent="0.45">
      <c r="V21" s="7">
        <f>ROUND(MAX(0, S14 - MIN(2.5, 5*SQRT((W4)^2 + (0.7*W5)^2)*(S6/6)^3)),1)</f>
        <v>3.6</v>
      </c>
    </row>
    <row r="23" spans="18:23" x14ac:dyDescent="0.45">
      <c r="R23" s="12" t="s">
        <v>3</v>
      </c>
      <c r="S23" s="12">
        <f>'INPUT DATA'!E2</f>
        <v>0.1</v>
      </c>
      <c r="U23" s="7" t="s">
        <v>69</v>
      </c>
      <c r="V23" s="7" t="s">
        <v>70</v>
      </c>
    </row>
    <row r="24" spans="18:23" x14ac:dyDescent="0.45">
      <c r="R24" s="12" t="s">
        <v>4</v>
      </c>
      <c r="S24" s="12">
        <f>'INPUT DATA'!F2</f>
        <v>0.25</v>
      </c>
      <c r="U24" s="7">
        <f>ROUND(MIN(1.2,MAX(0,(S23-0.3)*3)),1)</f>
        <v>0</v>
      </c>
      <c r="V24" s="7">
        <f>ROUND(MAX(0,V21-U24),1)</f>
        <v>3.6</v>
      </c>
    </row>
    <row r="27" spans="18:23" x14ac:dyDescent="0.45">
      <c r="V27" s="10" t="s">
        <v>71</v>
      </c>
      <c r="W27" s="10" t="s">
        <v>72</v>
      </c>
    </row>
    <row r="28" spans="18:23" x14ac:dyDescent="0.45">
      <c r="V28" s="10">
        <f>ROUND(IF(V24&gt;=6,10,IF(V24&gt;=4,7+((V24-4)/2)*3,IF(V24&gt;=3,5+((V24-3)/1)*2,IF(V24&gt;=2,3+((V24-2)/1)*2,MAX(0,(V24/2)*3))))),1)</f>
        <v>6.2</v>
      </c>
      <c r="W28" s="10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Functional visual quality in good lighting; significant deterioration expected in dim light</v>
      </c>
    </row>
    <row r="30" spans="18:23" x14ac:dyDescent="0.45">
      <c r="V30" s="10" t="s">
        <v>73</v>
      </c>
    </row>
    <row r="31" spans="18:23" x14ac:dyDescent="0.45">
      <c r="V31" s="10"/>
    </row>
    <row r="33" spans="22:23" x14ac:dyDescent="0.45">
      <c r="V33" s="10" t="s">
        <v>25</v>
      </c>
    </row>
    <row r="34" spans="22:23" x14ac:dyDescent="0.45">
      <c r="V34" s="10"/>
    </row>
    <row r="36" spans="22:23" x14ac:dyDescent="0.45">
      <c r="V36" s="7" t="s">
        <v>114</v>
      </c>
    </row>
    <row r="37" spans="22:23" x14ac:dyDescent="0.45">
      <c r="V37" s="7">
        <f>'DYSPHOTOPSIA SCORES'!E24</f>
        <v>3.7</v>
      </c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7" spans="22:23" x14ac:dyDescent="0.45">
      <c r="V47" s="35" t="s">
        <v>115</v>
      </c>
      <c r="W47" s="35">
        <f>ROUND(V24*(1-(1-(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))*1.1),1)</f>
        <v>3</v>
      </c>
    </row>
    <row r="48" spans="22:23" x14ac:dyDescent="0.45">
      <c r="V48" s="35" t="s">
        <v>116</v>
      </c>
      <c r="W48" s="35">
        <f>ROUND(V12*(1-(1-(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))*1.1),2)</f>
        <v>2.2599999999999998</v>
      </c>
    </row>
  </sheetData>
  <mergeCells count="3">
    <mergeCell ref="R1:T1"/>
    <mergeCell ref="R3:T3"/>
    <mergeCell ref="R12:T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8"/>
  <sheetViews>
    <sheetView topLeftCell="R4" zoomScale="107" workbookViewId="0">
      <selection activeCell="W29" sqref="W29"/>
    </sheetView>
  </sheetViews>
  <sheetFormatPr defaultColWidth="9" defaultRowHeight="14.25" x14ac:dyDescent="0.45"/>
  <cols>
    <col min="1" max="1" width="9.3984375" style="7" customWidth="1"/>
    <col min="2" max="2" width="14" style="7" customWidth="1"/>
    <col min="3" max="3" width="15.59765625" style="7" customWidth="1"/>
    <col min="4" max="17" width="9" style="7"/>
    <col min="18" max="18" width="18" style="7" customWidth="1"/>
    <col min="19" max="19" width="16" style="7" customWidth="1"/>
    <col min="20" max="20" width="14" style="7" customWidth="1"/>
    <col min="21" max="21" width="16" style="7" customWidth="1"/>
    <col min="22" max="22" width="42" style="7" customWidth="1"/>
    <col min="23" max="23" width="22.265625" style="7" customWidth="1"/>
    <col min="24" max="24" width="9" style="7"/>
    <col min="25" max="25" width="17.3984375" style="7" customWidth="1"/>
    <col min="26" max="16384" width="9" style="7"/>
  </cols>
  <sheetData>
    <row r="1" spans="1:23" ht="12" customHeight="1" x14ac:dyDescent="0.45">
      <c r="A1" s="7" t="s">
        <v>31</v>
      </c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ht="10.15" customHeight="1" x14ac:dyDescent="0.45">
      <c r="B2" s="7" t="s">
        <v>1</v>
      </c>
    </row>
    <row r="3" spans="1:23" ht="11.1" customHeight="1" x14ac:dyDescent="0.45">
      <c r="B3" s="7" t="s">
        <v>34</v>
      </c>
      <c r="D3" s="1">
        <v>1.5</v>
      </c>
      <c r="E3" s="1">
        <v>1.5</v>
      </c>
      <c r="F3" s="1">
        <v>1.5</v>
      </c>
      <c r="G3" s="1">
        <v>1.5</v>
      </c>
      <c r="H3" s="1">
        <v>1.5</v>
      </c>
      <c r="I3" s="1">
        <v>1.5</v>
      </c>
      <c r="J3" s="1">
        <v>1.5</v>
      </c>
      <c r="K3" s="1">
        <v>1.5</v>
      </c>
      <c r="L3" s="1">
        <v>1.5</v>
      </c>
      <c r="M3" s="1">
        <v>1.5</v>
      </c>
      <c r="N3" s="1">
        <v>1.5</v>
      </c>
      <c r="O3" s="1">
        <v>1.5</v>
      </c>
      <c r="P3" s="1">
        <v>1.5</v>
      </c>
      <c r="R3" s="49" t="s">
        <v>35</v>
      </c>
      <c r="S3" s="49"/>
      <c r="T3" s="49"/>
    </row>
    <row r="4" spans="1:23" ht="10.15" customHeight="1" x14ac:dyDescent="0.45">
      <c r="B4" s="7" t="s">
        <v>36</v>
      </c>
      <c r="D4" s="1">
        <v>1.25</v>
      </c>
      <c r="E4" s="1">
        <v>1.25</v>
      </c>
      <c r="F4" s="1">
        <v>1.25</v>
      </c>
      <c r="G4" s="1">
        <v>1.25</v>
      </c>
      <c r="H4" s="1">
        <v>1.25</v>
      </c>
      <c r="I4" s="1">
        <v>1.5</v>
      </c>
      <c r="J4" s="1">
        <v>1.5</v>
      </c>
      <c r="K4" s="1">
        <v>1.5</v>
      </c>
      <c r="L4" s="1">
        <v>1.5</v>
      </c>
      <c r="M4" s="1">
        <v>1.5</v>
      </c>
      <c r="N4" s="1">
        <v>1.5</v>
      </c>
      <c r="O4" s="1">
        <v>1.5</v>
      </c>
      <c r="P4" s="1">
        <v>1.5</v>
      </c>
      <c r="R4" s="9" t="s">
        <v>37</v>
      </c>
      <c r="S4" s="2">
        <f>'INPUT DATA'!G2</f>
        <v>0.35</v>
      </c>
      <c r="V4" s="10" t="s">
        <v>38</v>
      </c>
      <c r="W4" s="10">
        <f>'INPUT DATA'!H2</f>
        <v>0.06</v>
      </c>
    </row>
    <row r="5" spans="1:23" ht="10.15" customHeight="1" x14ac:dyDescent="0.45">
      <c r="B5" s="7" t="s">
        <v>39</v>
      </c>
      <c r="D5" s="1">
        <v>1.25</v>
      </c>
      <c r="E5" s="1">
        <v>1.25</v>
      </c>
      <c r="F5" s="1">
        <v>1.25</v>
      </c>
      <c r="G5" s="1">
        <v>1.25</v>
      </c>
      <c r="H5" s="1">
        <v>1.25</v>
      </c>
      <c r="I5" s="1">
        <v>1.25</v>
      </c>
      <c r="J5" s="1">
        <v>1.25</v>
      </c>
      <c r="K5" s="1">
        <v>1.25</v>
      </c>
      <c r="L5" s="1">
        <v>1.25</v>
      </c>
      <c r="M5" s="1">
        <v>1.25</v>
      </c>
      <c r="N5" s="1">
        <v>1.25</v>
      </c>
      <c r="O5" s="1">
        <v>1.25</v>
      </c>
      <c r="P5" s="1">
        <v>1.25</v>
      </c>
      <c r="R5" s="9" t="s">
        <v>40</v>
      </c>
      <c r="S5" s="2">
        <f>'INPUT DATA'!C2</f>
        <v>1.8</v>
      </c>
      <c r="V5" s="10" t="s">
        <v>41</v>
      </c>
      <c r="W5" s="10">
        <f>'INPUT DATA'!I2</f>
        <v>0.05</v>
      </c>
    </row>
    <row r="6" spans="1:23" ht="10.15" customHeight="1" x14ac:dyDescent="0.45">
      <c r="B6" s="7" t="s">
        <v>42</v>
      </c>
      <c r="D6" s="1">
        <v>1.25</v>
      </c>
      <c r="E6" s="1">
        <v>1.25</v>
      </c>
      <c r="F6" s="1">
        <v>1.25</v>
      </c>
      <c r="G6" s="1">
        <v>1</v>
      </c>
      <c r="H6" s="1">
        <v>1</v>
      </c>
      <c r="I6" s="1">
        <v>1.25</v>
      </c>
      <c r="J6" s="1">
        <v>1.25</v>
      </c>
      <c r="K6" s="1">
        <v>1</v>
      </c>
      <c r="L6" s="1">
        <v>0.75</v>
      </c>
      <c r="M6" s="1">
        <v>0.75</v>
      </c>
      <c r="N6" s="1">
        <v>0.5</v>
      </c>
      <c r="O6" s="1">
        <v>0.25</v>
      </c>
      <c r="P6" s="1">
        <v>0.25</v>
      </c>
      <c r="R6" s="9" t="s">
        <v>43</v>
      </c>
      <c r="S6" s="2">
        <f>'INPUT DATA'!D2</f>
        <v>3.5</v>
      </c>
    </row>
    <row r="7" spans="1:23" ht="10.15" customHeight="1" x14ac:dyDescent="0.45">
      <c r="B7" s="7" t="s">
        <v>44</v>
      </c>
      <c r="D7" s="1">
        <v>0.25</v>
      </c>
      <c r="E7" s="1">
        <v>0.25</v>
      </c>
      <c r="F7" s="1">
        <v>0.75</v>
      </c>
      <c r="G7" s="1">
        <v>0.75</v>
      </c>
      <c r="H7" s="1">
        <v>0.75</v>
      </c>
      <c r="I7" s="1">
        <v>0.75</v>
      </c>
      <c r="J7" s="1">
        <v>0.75</v>
      </c>
      <c r="K7" s="1">
        <v>0.5</v>
      </c>
      <c r="L7" s="1">
        <v>0.25</v>
      </c>
      <c r="M7" s="1">
        <v>0.25</v>
      </c>
      <c r="N7" s="1">
        <v>0.25</v>
      </c>
      <c r="O7" s="1">
        <v>0</v>
      </c>
      <c r="P7" s="1">
        <v>0</v>
      </c>
    </row>
    <row r="8" spans="1:23" ht="10.15" customHeight="1" x14ac:dyDescent="0.45">
      <c r="R8" s="9" t="s">
        <v>45</v>
      </c>
      <c r="S8" s="3">
        <f>MIN($P$1,MAX($D$1,ROUND(S4,1)))</f>
        <v>0.4</v>
      </c>
      <c r="T8" s="4" t="s">
        <v>46</v>
      </c>
    </row>
    <row r="9" spans="1:23" ht="10.15" customHeight="1" x14ac:dyDescent="0.45">
      <c r="R9" s="9" t="s">
        <v>47</v>
      </c>
      <c r="S9" s="4">
        <f>IF(S5&lt;=2,1,IF(S5&lt;=3,2,IF(S5&lt;=3.5,3,IF(S5&lt;=4.5,4,5))))</f>
        <v>1</v>
      </c>
      <c r="T9" s="4" t="s">
        <v>48</v>
      </c>
    </row>
    <row r="10" spans="1:23" ht="10.15" customHeight="1" x14ac:dyDescent="0.45">
      <c r="A10" s="7" t="s">
        <v>49</v>
      </c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9" t="s">
        <v>50</v>
      </c>
      <c r="S10" s="4">
        <f>IF(S6&lt;3,1,IF(S6&lt;=4.5,2,IF(S6&lt;=5.5,3,4)))</f>
        <v>2</v>
      </c>
      <c r="T10" s="4" t="s">
        <v>51</v>
      </c>
    </row>
    <row r="11" spans="1:23" ht="10.15" customHeight="1" x14ac:dyDescent="0.45">
      <c r="B11" s="7" t="s">
        <v>2</v>
      </c>
      <c r="V11" s="10" t="s">
        <v>52</v>
      </c>
    </row>
    <row r="12" spans="1:23" ht="11.1" customHeight="1" x14ac:dyDescent="0.45">
      <c r="B12" s="7" t="s">
        <v>53</v>
      </c>
      <c r="D12" s="1">
        <v>8.5</v>
      </c>
      <c r="E12" s="1">
        <v>8.5</v>
      </c>
      <c r="F12" s="1">
        <v>8.5</v>
      </c>
      <c r="G12" s="1">
        <v>8.5</v>
      </c>
      <c r="H12" s="1">
        <v>8.5</v>
      </c>
      <c r="I12" s="1">
        <v>8.5</v>
      </c>
      <c r="J12" s="1">
        <v>8</v>
      </c>
      <c r="K12" s="1">
        <v>8</v>
      </c>
      <c r="L12" s="1">
        <v>8</v>
      </c>
      <c r="M12" s="1">
        <v>8</v>
      </c>
      <c r="N12" s="1">
        <v>7.5</v>
      </c>
      <c r="O12" s="1">
        <v>7.5</v>
      </c>
      <c r="P12" s="1">
        <v>7</v>
      </c>
      <c r="R12" s="49" t="s">
        <v>54</v>
      </c>
      <c r="S12" s="49"/>
      <c r="T12" s="49"/>
      <c r="V12" s="10">
        <f>ROUND(S13+ MIN(0.45,1*SQRT((W4)^2+(0.7*W5)^2)*(S5/6)^3),2)</f>
        <v>1.5</v>
      </c>
    </row>
    <row r="13" spans="1:23" ht="10.15" customHeight="1" x14ac:dyDescent="0.45">
      <c r="B13" s="7" t="s">
        <v>55</v>
      </c>
      <c r="D13" s="1">
        <v>8</v>
      </c>
      <c r="E13" s="1">
        <v>8.5</v>
      </c>
      <c r="F13" s="1">
        <v>8.5</v>
      </c>
      <c r="G13" s="1">
        <v>8.5</v>
      </c>
      <c r="H13" s="1">
        <v>9</v>
      </c>
      <c r="I13" s="1">
        <v>8</v>
      </c>
      <c r="J13" s="1">
        <v>6.5</v>
      </c>
      <c r="K13" s="1">
        <v>6</v>
      </c>
      <c r="L13" s="1">
        <v>6</v>
      </c>
      <c r="M13" s="1">
        <v>6</v>
      </c>
      <c r="N13" s="1">
        <v>6</v>
      </c>
      <c r="O13" s="1">
        <v>6</v>
      </c>
      <c r="P13" s="1">
        <v>6</v>
      </c>
      <c r="R13" s="9" t="s">
        <v>56</v>
      </c>
      <c r="S13" s="5">
        <f>INDEX($D$3:$P$7,S9,MATCH(S8,$D$1:$P$1,0))</f>
        <v>1.5</v>
      </c>
      <c r="T13" s="4" t="s">
        <v>57</v>
      </c>
    </row>
    <row r="14" spans="1:23" ht="10.15" customHeight="1" x14ac:dyDescent="0.45">
      <c r="B14" s="7" t="s">
        <v>58</v>
      </c>
      <c r="D14" s="1">
        <v>6</v>
      </c>
      <c r="E14" s="1">
        <v>6.5</v>
      </c>
      <c r="F14" s="1">
        <v>7</v>
      </c>
      <c r="G14" s="1">
        <v>9</v>
      </c>
      <c r="H14" s="1">
        <v>8.5</v>
      </c>
      <c r="I14" s="1">
        <v>7</v>
      </c>
      <c r="J14" s="1">
        <v>6.5</v>
      </c>
      <c r="K14" s="1">
        <v>6</v>
      </c>
      <c r="L14" s="1">
        <v>5.5</v>
      </c>
      <c r="M14" s="1">
        <v>5</v>
      </c>
      <c r="N14" s="1">
        <v>4</v>
      </c>
      <c r="O14" s="1">
        <v>4</v>
      </c>
      <c r="P14" s="1">
        <v>4</v>
      </c>
      <c r="R14" s="9" t="s">
        <v>59</v>
      </c>
      <c r="S14" s="5">
        <f>INDEX($D$12:$P$15,S10,MATCH(S8,$D$10:$P$10,0))</f>
        <v>6</v>
      </c>
      <c r="T14" s="4" t="s">
        <v>60</v>
      </c>
      <c r="V14" s="10" t="s">
        <v>61</v>
      </c>
    </row>
    <row r="15" spans="1:23" ht="10.15" customHeight="1" x14ac:dyDescent="0.45">
      <c r="B15" s="7" t="s">
        <v>62</v>
      </c>
      <c r="D15" s="1">
        <v>4.5</v>
      </c>
      <c r="E15" s="1">
        <v>5.5</v>
      </c>
      <c r="F15" s="1">
        <v>6</v>
      </c>
      <c r="G15" s="1">
        <v>9</v>
      </c>
      <c r="H15" s="1">
        <v>7.5</v>
      </c>
      <c r="I15" s="1">
        <v>6.5</v>
      </c>
      <c r="J15" s="1">
        <v>5.5</v>
      </c>
      <c r="K15" s="1">
        <v>5</v>
      </c>
      <c r="L15" s="1">
        <v>4</v>
      </c>
      <c r="M15" s="1">
        <v>4</v>
      </c>
      <c r="N15" s="1">
        <v>4</v>
      </c>
      <c r="O15" s="1">
        <v>3</v>
      </c>
      <c r="P15" s="1">
        <v>3</v>
      </c>
      <c r="V15" s="10">
        <f>ROUND(MIN(10,V12*3.4),1)</f>
        <v>5.0999999999999996</v>
      </c>
    </row>
    <row r="16" spans="1:23" ht="10.15" customHeight="1" x14ac:dyDescent="0.4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8" t="s">
        <v>63</v>
      </c>
      <c r="S16" s="8"/>
      <c r="T16" s="8"/>
    </row>
    <row r="17" spans="18:23" ht="10.15" customHeight="1" x14ac:dyDescent="0.45">
      <c r="R17" s="11" t="s">
        <v>64</v>
      </c>
      <c r="S17" s="11"/>
      <c r="T17" s="11"/>
      <c r="V17" s="10" t="s">
        <v>65</v>
      </c>
    </row>
    <row r="18" spans="18:23" ht="10.15" customHeight="1" x14ac:dyDescent="0.45">
      <c r="R18" s="11" t="s">
        <v>66</v>
      </c>
      <c r="S18" s="11"/>
      <c r="T18" s="11"/>
      <c r="V18" s="10" t="str">
        <f>IF(W48&lt;0.75,"Distance only / No functional near",
IF(W48&lt;1.25,"Weak intermediate, poor near",
IF(W48&lt;1.75,"Functional intermediate, limited near",
IF(W48&lt;2.25,"Good intermediate and near",
"Excellent near performance"))))</f>
        <v>Functional intermediate, limited near</v>
      </c>
    </row>
    <row r="19" spans="18:23" ht="10.15" customHeight="1" x14ac:dyDescent="0.45">
      <c r="R19" s="11" t="s">
        <v>67</v>
      </c>
      <c r="S19" s="11"/>
      <c r="T19" s="11"/>
    </row>
    <row r="20" spans="18:23" x14ac:dyDescent="0.45">
      <c r="V20" s="7" t="s">
        <v>68</v>
      </c>
    </row>
    <row r="21" spans="18:23" x14ac:dyDescent="0.45">
      <c r="V21" s="7">
        <f>ROUND(MAX(0, S14 - MIN(2.5, 5*SQRT((W4)^2 + (0.7*W5)^2)*(S6/6)^3)),1)</f>
        <v>5.9</v>
      </c>
    </row>
    <row r="23" spans="18:23" x14ac:dyDescent="0.45">
      <c r="R23" s="12" t="s">
        <v>3</v>
      </c>
      <c r="S23" s="12">
        <f>'INPUT DATA'!E2</f>
        <v>0.1</v>
      </c>
      <c r="U23" s="7" t="s">
        <v>69</v>
      </c>
      <c r="V23" s="7" t="s">
        <v>70</v>
      </c>
    </row>
    <row r="24" spans="18:23" x14ac:dyDescent="0.45">
      <c r="R24" s="12" t="s">
        <v>4</v>
      </c>
      <c r="S24" s="12">
        <f>'INPUT DATA'!F2</f>
        <v>0.25</v>
      </c>
      <c r="U24" s="7">
        <f>ROUND(MIN(1.2,MAX(0,(S23-0.3)*3)),1)</f>
        <v>0</v>
      </c>
      <c r="V24" s="7">
        <f>ROUND(MAX(0,V21-U24),1)</f>
        <v>5.9</v>
      </c>
    </row>
    <row r="27" spans="18:23" x14ac:dyDescent="0.45">
      <c r="V27" s="10" t="s">
        <v>71</v>
      </c>
      <c r="W27" s="10" t="s">
        <v>72</v>
      </c>
    </row>
    <row r="28" spans="18:23" x14ac:dyDescent="0.45">
      <c r="V28" s="10">
        <f>ROUND(IF(V24&gt;=6,10,IF(V24&gt;=4,7+((V24-4)/2)*3,IF(V24&gt;=3,5+((V24-3)/1)*2,IF(V24&gt;=2,3+((V24-2)/1)*2,MAX(0,(V24/2)*3))))),1)</f>
        <v>9.9</v>
      </c>
      <c r="W28" s="10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Excellent visual quality in normal lighting; mild reduction may be noticed in very low-light conditions</v>
      </c>
    </row>
    <row r="30" spans="18:23" x14ac:dyDescent="0.45">
      <c r="V30" s="10" t="s">
        <v>73</v>
      </c>
    </row>
    <row r="31" spans="18:23" x14ac:dyDescent="0.45">
      <c r="V31" s="10">
        <f>'DYSPHOTOPSIA SCORES'!E21</f>
        <v>1</v>
      </c>
    </row>
    <row r="33" spans="22:23" x14ac:dyDescent="0.45">
      <c r="V33" s="10" t="s">
        <v>25</v>
      </c>
    </row>
    <row r="34" spans="22:23" x14ac:dyDescent="0.45">
      <c r="V34" s="10"/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7" spans="22:23" x14ac:dyDescent="0.45">
      <c r="V47" s="35" t="s">
        <v>115</v>
      </c>
      <c r="W47" s="35">
        <f>ROUND(V24*(1-(1-(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))*0.85),1)</f>
        <v>5.2</v>
      </c>
    </row>
    <row r="48" spans="22:23" x14ac:dyDescent="0.45">
      <c r="V48" s="35" t="s">
        <v>116</v>
      </c>
      <c r="W48" s="35">
        <f>ROUND(V12*(1-(1-(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))*0.85),2)</f>
        <v>1.39</v>
      </c>
    </row>
  </sheetData>
  <mergeCells count="3">
    <mergeCell ref="R12:T12"/>
    <mergeCell ref="R1:T1"/>
    <mergeCell ref="R3:T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8"/>
  <sheetViews>
    <sheetView topLeftCell="S1" zoomScale="106" zoomScaleNormal="100" workbookViewId="0">
      <selection activeCell="W29" sqref="W29"/>
    </sheetView>
  </sheetViews>
  <sheetFormatPr defaultColWidth="9" defaultRowHeight="14.25" x14ac:dyDescent="0.45"/>
  <cols>
    <col min="1" max="1" width="9.3984375" style="7" customWidth="1"/>
    <col min="2" max="2" width="14" style="7" customWidth="1"/>
    <col min="3" max="3" width="15.59765625" style="7" customWidth="1"/>
    <col min="4" max="17" width="9" style="7"/>
    <col min="18" max="18" width="18" style="7" customWidth="1"/>
    <col min="19" max="19" width="16" style="7" customWidth="1"/>
    <col min="20" max="20" width="14" style="7" customWidth="1"/>
    <col min="21" max="21" width="16" style="7" customWidth="1"/>
    <col min="22" max="22" width="42" style="7" customWidth="1"/>
    <col min="23" max="23" width="22.265625" style="7" customWidth="1"/>
    <col min="24" max="24" width="9" style="7"/>
    <col min="25" max="25" width="17.3984375" style="7" customWidth="1"/>
    <col min="26" max="16384" width="9" style="7"/>
  </cols>
  <sheetData>
    <row r="1" spans="1:23" ht="12" customHeight="1" x14ac:dyDescent="0.45">
      <c r="A1" s="7" t="s">
        <v>31</v>
      </c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ht="10.15" customHeight="1" x14ac:dyDescent="0.45">
      <c r="B2" s="7" t="s">
        <v>1</v>
      </c>
    </row>
    <row r="3" spans="1:23" ht="11.1" customHeight="1" x14ac:dyDescent="0.45">
      <c r="B3" s="7" t="s">
        <v>34</v>
      </c>
      <c r="D3" s="1">
        <v>1.5</v>
      </c>
      <c r="E3" s="1">
        <v>1.5</v>
      </c>
      <c r="F3" s="1">
        <v>1.5</v>
      </c>
      <c r="G3" s="1">
        <v>1.5</v>
      </c>
      <c r="H3" s="1">
        <v>1.5</v>
      </c>
      <c r="I3" s="1">
        <v>1.5</v>
      </c>
      <c r="J3" s="1">
        <v>1.5</v>
      </c>
      <c r="K3" s="1">
        <v>1.5</v>
      </c>
      <c r="L3" s="1">
        <v>1.5</v>
      </c>
      <c r="M3" s="1">
        <v>1.5</v>
      </c>
      <c r="N3" s="1">
        <v>1.5</v>
      </c>
      <c r="O3" s="1">
        <v>1.5</v>
      </c>
      <c r="P3" s="1">
        <v>1.5</v>
      </c>
      <c r="R3" s="49" t="s">
        <v>35</v>
      </c>
      <c r="S3" s="49"/>
      <c r="T3" s="49"/>
    </row>
    <row r="4" spans="1:23" ht="10.15" customHeight="1" x14ac:dyDescent="0.45">
      <c r="B4" s="7" t="s">
        <v>36</v>
      </c>
      <c r="D4" s="1">
        <v>1.5</v>
      </c>
      <c r="E4" s="1">
        <v>1.25</v>
      </c>
      <c r="F4" s="1">
        <v>1.25</v>
      </c>
      <c r="G4" s="1">
        <v>1.25</v>
      </c>
      <c r="H4" s="1">
        <v>1.25</v>
      </c>
      <c r="I4" s="1">
        <v>1.25</v>
      </c>
      <c r="J4" s="1">
        <v>1.25</v>
      </c>
      <c r="K4" s="1">
        <v>1.5</v>
      </c>
      <c r="L4" s="1">
        <v>1.5</v>
      </c>
      <c r="M4" s="1">
        <v>1.5</v>
      </c>
      <c r="N4" s="1">
        <v>1.5</v>
      </c>
      <c r="O4" s="1">
        <v>1.5</v>
      </c>
      <c r="P4" s="1">
        <v>1.5</v>
      </c>
      <c r="R4" s="9" t="s">
        <v>37</v>
      </c>
      <c r="S4" s="2">
        <f>'INPUT DATA'!G2</f>
        <v>0.35</v>
      </c>
      <c r="V4" s="10" t="s">
        <v>38</v>
      </c>
      <c r="W4" s="10">
        <f>'INPUT DATA'!H2</f>
        <v>0.06</v>
      </c>
    </row>
    <row r="5" spans="1:23" ht="10.15" customHeight="1" x14ac:dyDescent="0.45">
      <c r="B5" s="7" t="s">
        <v>39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1.25</v>
      </c>
      <c r="J5" s="1">
        <v>1.25</v>
      </c>
      <c r="K5" s="1">
        <v>1.25</v>
      </c>
      <c r="L5" s="1">
        <v>1.25</v>
      </c>
      <c r="M5" s="1">
        <v>1.25</v>
      </c>
      <c r="N5" s="1">
        <v>1.25</v>
      </c>
      <c r="O5" s="1">
        <v>1.25</v>
      </c>
      <c r="P5" s="1">
        <v>1.25</v>
      </c>
      <c r="R5" s="9" t="s">
        <v>40</v>
      </c>
      <c r="S5" s="2">
        <f>'INPUT DATA'!C2</f>
        <v>1.8</v>
      </c>
      <c r="V5" s="10" t="s">
        <v>41</v>
      </c>
      <c r="W5" s="10">
        <f>'INPUT DATA'!I2</f>
        <v>0.05</v>
      </c>
    </row>
    <row r="6" spans="1:23" ht="10.15" customHeight="1" x14ac:dyDescent="0.45">
      <c r="B6" s="7" t="s">
        <v>42</v>
      </c>
      <c r="D6" s="1">
        <v>1</v>
      </c>
      <c r="E6" s="1">
        <v>1</v>
      </c>
      <c r="F6" s="1">
        <v>1</v>
      </c>
      <c r="G6" s="1">
        <v>1</v>
      </c>
      <c r="H6" s="1">
        <v>0.75</v>
      </c>
      <c r="I6" s="1">
        <v>0.75</v>
      </c>
      <c r="J6" s="1">
        <v>1.25</v>
      </c>
      <c r="K6" s="1">
        <v>1</v>
      </c>
      <c r="L6" s="1">
        <v>0.75</v>
      </c>
      <c r="M6" s="1">
        <v>0.75</v>
      </c>
      <c r="N6" s="1">
        <v>0.75</v>
      </c>
      <c r="O6" s="1">
        <v>0.5</v>
      </c>
      <c r="P6" s="1">
        <v>0.5</v>
      </c>
      <c r="R6" s="9" t="s">
        <v>43</v>
      </c>
      <c r="S6" s="2">
        <f>'INPUT DATA'!D2</f>
        <v>3.5</v>
      </c>
    </row>
    <row r="7" spans="1:23" ht="10.15" customHeight="1" x14ac:dyDescent="0.45">
      <c r="B7" s="7" t="s">
        <v>44</v>
      </c>
      <c r="D7" s="1">
        <v>0</v>
      </c>
      <c r="E7" s="1">
        <v>0.25</v>
      </c>
      <c r="F7" s="1">
        <v>0.5</v>
      </c>
      <c r="G7" s="1">
        <v>0.75</v>
      </c>
      <c r="H7" s="1">
        <v>0.75</v>
      </c>
      <c r="I7" s="1">
        <v>0.75</v>
      </c>
      <c r="J7" s="1">
        <v>0.75</v>
      </c>
      <c r="K7" s="1">
        <v>0.75</v>
      </c>
      <c r="L7" s="1">
        <v>0.5</v>
      </c>
      <c r="M7" s="1">
        <v>0.5</v>
      </c>
      <c r="N7" s="1">
        <v>0.25</v>
      </c>
      <c r="O7" s="1">
        <v>0</v>
      </c>
      <c r="P7" s="1">
        <v>0</v>
      </c>
    </row>
    <row r="8" spans="1:23" ht="10.15" customHeight="1" x14ac:dyDescent="0.45">
      <c r="R8" s="9" t="s">
        <v>45</v>
      </c>
      <c r="S8" s="3">
        <f>MIN($P$1,MAX($D$1,ROUND(S4,1)))</f>
        <v>0.4</v>
      </c>
      <c r="T8" s="4" t="s">
        <v>46</v>
      </c>
    </row>
    <row r="9" spans="1:23" ht="10.15" customHeight="1" x14ac:dyDescent="0.45">
      <c r="R9" s="9" t="s">
        <v>47</v>
      </c>
      <c r="S9" s="4">
        <f>IF(S5&lt;=2,1,IF(S5&lt;=3,2,IF(S5&lt;=3.5,3,IF(S5&lt;=4.5,4,5))))</f>
        <v>1</v>
      </c>
      <c r="T9" s="4" t="s">
        <v>48</v>
      </c>
    </row>
    <row r="10" spans="1:23" ht="10.15" customHeight="1" x14ac:dyDescent="0.45">
      <c r="A10" s="7" t="s">
        <v>49</v>
      </c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9" t="s">
        <v>50</v>
      </c>
      <c r="S10" s="4">
        <f>IF(S6&lt;3,1,IF(S6&lt;=4.5,2,IF(S6&lt;=5.5,3,4)))</f>
        <v>2</v>
      </c>
      <c r="T10" s="4" t="s">
        <v>51</v>
      </c>
    </row>
    <row r="11" spans="1:23" ht="10.15" customHeight="1" x14ac:dyDescent="0.45">
      <c r="B11" s="7" t="s">
        <v>2</v>
      </c>
      <c r="V11" s="10" t="s">
        <v>52</v>
      </c>
    </row>
    <row r="12" spans="1:23" ht="11.1" customHeight="1" x14ac:dyDescent="0.45">
      <c r="B12" s="7" t="s">
        <v>53</v>
      </c>
      <c r="D12" s="1">
        <v>8.5</v>
      </c>
      <c r="E12" s="1">
        <v>8.5</v>
      </c>
      <c r="F12" s="1">
        <v>8.5</v>
      </c>
      <c r="G12" s="1">
        <v>8.5</v>
      </c>
      <c r="H12" s="1">
        <v>8.5</v>
      </c>
      <c r="I12" s="1">
        <v>8.5</v>
      </c>
      <c r="J12" s="1">
        <v>8.5</v>
      </c>
      <c r="K12" s="1">
        <v>8.5</v>
      </c>
      <c r="L12" s="1">
        <v>8.5</v>
      </c>
      <c r="M12" s="1">
        <v>8.5</v>
      </c>
      <c r="N12" s="1">
        <v>8.5</v>
      </c>
      <c r="O12" s="1">
        <v>8.5</v>
      </c>
      <c r="P12" s="1">
        <v>8.5</v>
      </c>
      <c r="R12" s="49" t="s">
        <v>54</v>
      </c>
      <c r="S12" s="49"/>
      <c r="T12" s="49"/>
      <c r="V12" s="10">
        <f>ROUND(S13+ MIN(0.45,1*SQRT((W4)^2+(0.7*W5)^2)*(S5/6)^3),2)</f>
        <v>1.5</v>
      </c>
    </row>
    <row r="13" spans="1:23" ht="10.15" customHeight="1" x14ac:dyDescent="0.45">
      <c r="B13" s="7" t="s">
        <v>55</v>
      </c>
      <c r="D13" s="1">
        <v>6.5</v>
      </c>
      <c r="E13" s="1">
        <v>7</v>
      </c>
      <c r="F13" s="1">
        <v>8</v>
      </c>
      <c r="G13" s="1">
        <v>8.5</v>
      </c>
      <c r="H13" s="1">
        <v>8.5</v>
      </c>
      <c r="I13" s="1">
        <v>9</v>
      </c>
      <c r="J13" s="1">
        <v>8</v>
      </c>
      <c r="K13" s="1">
        <v>7.5</v>
      </c>
      <c r="L13" s="1">
        <v>7.5</v>
      </c>
      <c r="M13" s="1">
        <v>7</v>
      </c>
      <c r="N13" s="1">
        <v>6.5</v>
      </c>
      <c r="O13" s="1">
        <v>6</v>
      </c>
      <c r="P13" s="1">
        <v>5.5</v>
      </c>
      <c r="R13" s="9" t="s">
        <v>56</v>
      </c>
      <c r="S13" s="5">
        <f>INDEX($D$3:$P$7,S9,MATCH(S8,$D$1:$P$1,0))</f>
        <v>1.5</v>
      </c>
      <c r="T13" s="4" t="s">
        <v>57</v>
      </c>
    </row>
    <row r="14" spans="1:23" ht="10.15" customHeight="1" x14ac:dyDescent="0.45">
      <c r="B14" s="7" t="s">
        <v>58</v>
      </c>
      <c r="D14" s="1">
        <v>4.5</v>
      </c>
      <c r="E14" s="1">
        <v>5</v>
      </c>
      <c r="F14" s="1">
        <v>6.5</v>
      </c>
      <c r="G14" s="1">
        <v>7.5</v>
      </c>
      <c r="H14" s="1">
        <v>8</v>
      </c>
      <c r="I14" s="1">
        <v>9</v>
      </c>
      <c r="J14" s="1">
        <v>7.5</v>
      </c>
      <c r="K14" s="1">
        <v>7</v>
      </c>
      <c r="L14" s="1">
        <v>6</v>
      </c>
      <c r="M14" s="1">
        <v>5.5</v>
      </c>
      <c r="N14" s="1">
        <v>5</v>
      </c>
      <c r="O14" s="1">
        <v>4.5</v>
      </c>
      <c r="P14" s="1">
        <v>4.5</v>
      </c>
      <c r="R14" s="9" t="s">
        <v>59</v>
      </c>
      <c r="S14" s="5">
        <f>INDEX($D$12:$P$15,S10,MATCH(S8,$D$10:$P$10,0))</f>
        <v>7</v>
      </c>
      <c r="T14" s="4" t="s">
        <v>60</v>
      </c>
      <c r="V14" s="10" t="s">
        <v>61</v>
      </c>
    </row>
    <row r="15" spans="1:23" ht="10.15" customHeight="1" x14ac:dyDescent="0.45">
      <c r="B15" s="7" t="s">
        <v>62</v>
      </c>
      <c r="D15" s="1">
        <v>3.5</v>
      </c>
      <c r="E15" s="1">
        <v>4.5</v>
      </c>
      <c r="F15" s="1">
        <v>6.5</v>
      </c>
      <c r="G15" s="1">
        <v>7</v>
      </c>
      <c r="H15" s="1">
        <v>8</v>
      </c>
      <c r="I15" s="1">
        <v>8</v>
      </c>
      <c r="J15" s="1">
        <v>7</v>
      </c>
      <c r="K15" s="1">
        <v>6</v>
      </c>
      <c r="L15" s="1">
        <v>6</v>
      </c>
      <c r="M15" s="1">
        <v>5.5</v>
      </c>
      <c r="N15" s="1">
        <v>4.5</v>
      </c>
      <c r="O15" s="1">
        <v>4.5</v>
      </c>
      <c r="P15" s="1">
        <v>3</v>
      </c>
      <c r="V15" s="10">
        <f>ROUND(MIN(10,V12*3.4),1)</f>
        <v>5.0999999999999996</v>
      </c>
    </row>
    <row r="16" spans="1:23" ht="10.15" customHeight="1" x14ac:dyDescent="0.4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8" t="s">
        <v>63</v>
      </c>
      <c r="S16" s="8"/>
      <c r="T16" s="8"/>
    </row>
    <row r="17" spans="18:23" ht="10.15" customHeight="1" x14ac:dyDescent="0.45">
      <c r="R17" s="11" t="s">
        <v>64</v>
      </c>
      <c r="S17" s="11"/>
      <c r="T17" s="11"/>
      <c r="V17" s="10" t="s">
        <v>65</v>
      </c>
    </row>
    <row r="18" spans="18:23" ht="10.15" customHeight="1" x14ac:dyDescent="0.45">
      <c r="R18" s="11" t="s">
        <v>66</v>
      </c>
      <c r="S18" s="11"/>
      <c r="T18" s="11"/>
      <c r="V18" s="10" t="str">
        <f>IF(W48&lt;0.75,"Distance only / No functional near",
IF(W48&lt;1.25,"Weak intermediate, poor near",
IF(W48&lt;1.75,"Functional intermediate, limited near",
IF(W48&lt;2.25,"Good intermediate and near",
"Excellent near performance"))))</f>
        <v>Functional intermediate, limited near</v>
      </c>
    </row>
    <row r="19" spans="18:23" ht="10.15" customHeight="1" x14ac:dyDescent="0.45">
      <c r="R19" s="11" t="s">
        <v>67</v>
      </c>
      <c r="S19" s="11"/>
      <c r="T19" s="11"/>
    </row>
    <row r="20" spans="18:23" x14ac:dyDescent="0.45">
      <c r="V20" s="7" t="s">
        <v>68</v>
      </c>
    </row>
    <row r="21" spans="18:23" x14ac:dyDescent="0.45">
      <c r="V21" s="7">
        <f>ROUND(MAX(0, S14 - MIN(2.5, 5*SQRT((W4)^2 + (0.7*W5)^2)*(S6/6)^3)),1)</f>
        <v>6.9</v>
      </c>
    </row>
    <row r="23" spans="18:23" x14ac:dyDescent="0.45">
      <c r="R23" s="12" t="s">
        <v>3</v>
      </c>
      <c r="S23" s="12">
        <f>'INPUT DATA'!E2</f>
        <v>0.1</v>
      </c>
      <c r="U23" s="7" t="s">
        <v>69</v>
      </c>
      <c r="V23" s="7" t="s">
        <v>70</v>
      </c>
    </row>
    <row r="24" spans="18:23" x14ac:dyDescent="0.45">
      <c r="R24" s="12" t="s">
        <v>4</v>
      </c>
      <c r="S24" s="12">
        <f>'INPUT DATA'!F2</f>
        <v>0.25</v>
      </c>
      <c r="U24" s="7">
        <f>ROUND(MIN(0.8,MAX(0,(S23-0.3)*2)),1)</f>
        <v>0</v>
      </c>
      <c r="V24" s="7">
        <f>ROUND(MAX(0,V21-U24),1)</f>
        <v>6.9</v>
      </c>
    </row>
    <row r="27" spans="18:23" x14ac:dyDescent="0.45">
      <c r="V27" s="10" t="s">
        <v>71</v>
      </c>
      <c r="W27" s="10" t="s">
        <v>72</v>
      </c>
    </row>
    <row r="28" spans="18:23" x14ac:dyDescent="0.45">
      <c r="V28" s="10">
        <f>ROUND(IF(V24&gt;=6,10,IF(V24&gt;=4,7+((V24-4)/2)*3,IF(V24&gt;=3,5+((V24-3)/1)*2,IF(V24&gt;=2,3+((V24-2)/1)*2,MAX(0,(V24/2)*3))))),1)</f>
        <v>10</v>
      </c>
      <c r="W28" s="10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excellent visual quality across all lighting conditions</v>
      </c>
    </row>
    <row r="30" spans="18:23" x14ac:dyDescent="0.45">
      <c r="V30" s="10" t="s">
        <v>73</v>
      </c>
    </row>
    <row r="31" spans="18:23" x14ac:dyDescent="0.45">
      <c r="V31" s="10">
        <f>'DYSPHOTOPSIA SCORES'!E20</f>
        <v>1</v>
      </c>
    </row>
    <row r="33" spans="22:23" x14ac:dyDescent="0.45">
      <c r="V33" s="10" t="s">
        <v>25</v>
      </c>
    </row>
    <row r="34" spans="22:23" x14ac:dyDescent="0.45">
      <c r="V34" s="10"/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7" spans="22:23" x14ac:dyDescent="0.45">
      <c r="V47" s="35" t="s">
        <v>115</v>
      </c>
      <c r="W47" s="35">
        <f>ROUND(V24*(1-(1-(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))*0.82),1)</f>
        <v>6.1</v>
      </c>
    </row>
    <row r="48" spans="22:23" x14ac:dyDescent="0.45">
      <c r="V48" s="35" t="s">
        <v>116</v>
      </c>
      <c r="W48" s="35">
        <f>ROUND(V12*(1-(1-(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))*0.82),2)</f>
        <v>1.39</v>
      </c>
    </row>
  </sheetData>
  <mergeCells count="3">
    <mergeCell ref="R1:T1"/>
    <mergeCell ref="R3:T3"/>
    <mergeCell ref="R12:T12"/>
  </mergeCells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8"/>
  <sheetViews>
    <sheetView topLeftCell="S7" zoomScale="122" workbookViewId="0">
      <selection activeCell="W29" sqref="W29"/>
    </sheetView>
  </sheetViews>
  <sheetFormatPr defaultColWidth="9" defaultRowHeight="14.25" x14ac:dyDescent="0.45"/>
  <cols>
    <col min="1" max="1" width="9.3984375" style="7" customWidth="1"/>
    <col min="2" max="2" width="14" style="7" customWidth="1"/>
    <col min="3" max="3" width="15.59765625" style="7" customWidth="1"/>
    <col min="4" max="15" width="9" style="7"/>
    <col min="16" max="16" width="12.3984375" style="7" customWidth="1"/>
    <col min="17" max="17" width="9" style="7"/>
    <col min="18" max="18" width="18" style="7" customWidth="1"/>
    <col min="19" max="19" width="16" style="7" customWidth="1"/>
    <col min="20" max="20" width="14" style="7" customWidth="1"/>
    <col min="21" max="21" width="16" style="7" customWidth="1"/>
    <col min="22" max="22" width="42" style="7" customWidth="1"/>
    <col min="23" max="23" width="22.265625" style="7" customWidth="1"/>
    <col min="24" max="24" width="9" style="7"/>
    <col min="25" max="25" width="17.3984375" style="7" customWidth="1"/>
    <col min="26" max="16384" width="9" style="7"/>
  </cols>
  <sheetData>
    <row r="1" spans="1:23" ht="12" customHeight="1" x14ac:dyDescent="0.45">
      <c r="A1" s="7" t="s">
        <v>31</v>
      </c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ht="10.15" customHeight="1" x14ac:dyDescent="0.45">
      <c r="B2" s="7" t="s">
        <v>1</v>
      </c>
    </row>
    <row r="3" spans="1:23" ht="11.1" customHeight="1" x14ac:dyDescent="0.45">
      <c r="B3" s="7" t="s">
        <v>34</v>
      </c>
      <c r="D3" s="1">
        <v>1.5</v>
      </c>
      <c r="E3" s="1">
        <v>1.5</v>
      </c>
      <c r="F3" s="1">
        <v>1.5</v>
      </c>
      <c r="G3" s="1">
        <v>1.5</v>
      </c>
      <c r="H3" s="1">
        <v>1.5</v>
      </c>
      <c r="I3" s="1">
        <v>1.5</v>
      </c>
      <c r="J3" s="1">
        <v>1.5</v>
      </c>
      <c r="K3" s="1">
        <v>1.5</v>
      </c>
      <c r="L3" s="1">
        <v>1.5</v>
      </c>
      <c r="M3" s="1">
        <v>1.5</v>
      </c>
      <c r="N3" s="1">
        <v>1.5</v>
      </c>
      <c r="O3" s="1">
        <v>1.5</v>
      </c>
      <c r="P3" s="1">
        <v>1.5</v>
      </c>
      <c r="R3" s="49" t="s">
        <v>35</v>
      </c>
      <c r="S3" s="49"/>
      <c r="T3" s="49"/>
    </row>
    <row r="4" spans="1:23" ht="10.15" customHeight="1" x14ac:dyDescent="0.45">
      <c r="B4" s="7" t="s">
        <v>36</v>
      </c>
      <c r="D4" s="1">
        <v>1.5</v>
      </c>
      <c r="E4" s="1">
        <v>1.5</v>
      </c>
      <c r="F4" s="1">
        <v>1.5</v>
      </c>
      <c r="G4" s="1">
        <v>1.25</v>
      </c>
      <c r="H4" s="1">
        <v>1.25</v>
      </c>
      <c r="I4" s="1">
        <v>1.25</v>
      </c>
      <c r="J4" s="1">
        <v>1.25</v>
      </c>
      <c r="K4" s="1">
        <v>1.25</v>
      </c>
      <c r="L4" s="1">
        <v>1.25</v>
      </c>
      <c r="M4" s="1">
        <v>1.25</v>
      </c>
      <c r="N4" s="1">
        <v>1.5</v>
      </c>
      <c r="O4" s="1">
        <v>1.5</v>
      </c>
      <c r="P4" s="1">
        <v>1.5</v>
      </c>
      <c r="R4" s="9" t="s">
        <v>37</v>
      </c>
      <c r="S4" s="2">
        <f>'INPUT DATA'!G2</f>
        <v>0.35</v>
      </c>
      <c r="V4" s="10" t="s">
        <v>38</v>
      </c>
      <c r="W4" s="10">
        <f>'INPUT DATA'!H2</f>
        <v>0.06</v>
      </c>
    </row>
    <row r="5" spans="1:23" ht="10.15" customHeight="1" x14ac:dyDescent="0.45">
      <c r="B5" s="7" t="s">
        <v>39</v>
      </c>
      <c r="D5" s="1">
        <v>1</v>
      </c>
      <c r="E5" s="1">
        <v>1</v>
      </c>
      <c r="F5" s="1">
        <v>1</v>
      </c>
      <c r="G5" s="1">
        <v>0.75</v>
      </c>
      <c r="H5" s="1">
        <v>0.75</v>
      </c>
      <c r="I5" s="1">
        <v>1</v>
      </c>
      <c r="J5" s="1">
        <v>1</v>
      </c>
      <c r="K5" s="1">
        <v>1.25</v>
      </c>
      <c r="L5" s="1">
        <v>1.25</v>
      </c>
      <c r="M5" s="1">
        <v>1.25</v>
      </c>
      <c r="N5" s="1">
        <v>1.25</v>
      </c>
      <c r="O5" s="1">
        <v>1.25</v>
      </c>
      <c r="P5" s="1">
        <v>1.25</v>
      </c>
      <c r="R5" s="9" t="s">
        <v>40</v>
      </c>
      <c r="S5" s="2">
        <f>'INPUT DATA'!C2</f>
        <v>1.8</v>
      </c>
      <c r="V5" s="10" t="s">
        <v>41</v>
      </c>
      <c r="W5" s="10">
        <f>'INPUT DATA'!I2</f>
        <v>0.05</v>
      </c>
    </row>
    <row r="6" spans="1:23" ht="10.15" customHeight="1" x14ac:dyDescent="0.45">
      <c r="B6" s="7" t="s">
        <v>42</v>
      </c>
      <c r="D6" s="1">
        <v>0.25</v>
      </c>
      <c r="E6" s="1">
        <v>0.25</v>
      </c>
      <c r="F6" s="1">
        <v>0.75</v>
      </c>
      <c r="G6" s="1">
        <v>1</v>
      </c>
      <c r="H6" s="1">
        <v>1</v>
      </c>
      <c r="I6" s="1">
        <v>1</v>
      </c>
      <c r="J6" s="1">
        <v>1</v>
      </c>
      <c r="K6" s="1">
        <v>0.75</v>
      </c>
      <c r="L6" s="1">
        <v>1</v>
      </c>
      <c r="M6" s="1">
        <v>1.25</v>
      </c>
      <c r="N6" s="1">
        <v>1</v>
      </c>
      <c r="O6" s="1">
        <v>0.75</v>
      </c>
      <c r="P6" s="1">
        <v>0.5</v>
      </c>
      <c r="R6" s="9" t="s">
        <v>43</v>
      </c>
      <c r="S6" s="2">
        <f>'INPUT DATA'!D2</f>
        <v>3.5</v>
      </c>
    </row>
    <row r="7" spans="1:23" ht="10.15" customHeight="1" x14ac:dyDescent="0.45">
      <c r="B7" s="7" t="s">
        <v>44</v>
      </c>
      <c r="D7" s="1">
        <v>0</v>
      </c>
      <c r="E7" s="1">
        <v>0</v>
      </c>
      <c r="F7" s="1">
        <v>0.25</v>
      </c>
      <c r="G7" s="1">
        <v>0.75</v>
      </c>
      <c r="H7" s="1">
        <v>0.75</v>
      </c>
      <c r="I7" s="1">
        <v>0.75</v>
      </c>
      <c r="J7" s="1">
        <v>0.75</v>
      </c>
      <c r="K7" s="1">
        <v>0.75</v>
      </c>
      <c r="L7" s="1">
        <v>0.75</v>
      </c>
      <c r="M7" s="1">
        <v>0.75</v>
      </c>
      <c r="N7" s="1">
        <v>0.5</v>
      </c>
      <c r="O7" s="1">
        <v>0</v>
      </c>
      <c r="P7" s="1">
        <v>0</v>
      </c>
    </row>
    <row r="8" spans="1:23" ht="10.15" customHeight="1" x14ac:dyDescent="0.45">
      <c r="R8" s="9" t="s">
        <v>45</v>
      </c>
      <c r="S8" s="3">
        <f>MIN($P$1,MAX($D$1,ROUND(S4,1)))</f>
        <v>0.4</v>
      </c>
      <c r="T8" s="4" t="s">
        <v>46</v>
      </c>
    </row>
    <row r="9" spans="1:23" ht="10.15" customHeight="1" x14ac:dyDescent="0.45">
      <c r="R9" s="9" t="s">
        <v>47</v>
      </c>
      <c r="S9" s="4">
        <f>IF(S5&lt;=2,1,IF(S5&lt;=3,2,IF(S5&lt;=3.5,3,IF(S5&lt;=4.5,4,5))))</f>
        <v>1</v>
      </c>
      <c r="T9" s="4" t="s">
        <v>48</v>
      </c>
    </row>
    <row r="10" spans="1:23" ht="10.15" customHeight="1" x14ac:dyDescent="0.45">
      <c r="A10" s="7" t="s">
        <v>49</v>
      </c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9" t="s">
        <v>50</v>
      </c>
      <c r="S10" s="4">
        <f>IF(S6&lt;3,1,IF(S6&lt;=4.5,2,IF(S6&lt;=5.5,3,4)))</f>
        <v>2</v>
      </c>
      <c r="T10" s="4" t="s">
        <v>51</v>
      </c>
    </row>
    <row r="11" spans="1:23" ht="10.15" customHeight="1" x14ac:dyDescent="0.45">
      <c r="B11" s="7" t="s">
        <v>2</v>
      </c>
      <c r="V11" s="10" t="s">
        <v>52</v>
      </c>
    </row>
    <row r="12" spans="1:23" ht="11.1" customHeight="1" x14ac:dyDescent="0.45">
      <c r="B12" s="7" t="s">
        <v>53</v>
      </c>
      <c r="D12" s="1">
        <v>8.5</v>
      </c>
      <c r="E12" s="1">
        <v>8.5</v>
      </c>
      <c r="F12" s="1">
        <v>8.5</v>
      </c>
      <c r="G12" s="1">
        <v>8.5</v>
      </c>
      <c r="H12" s="1">
        <v>8.5</v>
      </c>
      <c r="I12" s="1">
        <v>8.5</v>
      </c>
      <c r="J12" s="1">
        <v>8.5</v>
      </c>
      <c r="K12" s="1">
        <v>8.5</v>
      </c>
      <c r="L12" s="1">
        <v>8.5</v>
      </c>
      <c r="M12" s="1">
        <v>8.5</v>
      </c>
      <c r="N12" s="1">
        <v>8.5</v>
      </c>
      <c r="O12" s="1">
        <v>8.5</v>
      </c>
      <c r="P12" s="1">
        <v>8.5</v>
      </c>
      <c r="R12" s="49" t="s">
        <v>54</v>
      </c>
      <c r="S12" s="49"/>
      <c r="T12" s="49"/>
      <c r="V12" s="10">
        <f>ROUND(S13+ MIN(0.45,1*SQRT((W4)^2+(0.7*W5)^2)*(S5/6)^3),2)</f>
        <v>1.5</v>
      </c>
    </row>
    <row r="13" spans="1:23" ht="10.15" customHeight="1" x14ac:dyDescent="0.45">
      <c r="B13" s="7" t="s">
        <v>55</v>
      </c>
      <c r="D13" s="1">
        <v>5.5</v>
      </c>
      <c r="E13" s="1">
        <v>6.5</v>
      </c>
      <c r="F13" s="1">
        <v>7.5</v>
      </c>
      <c r="G13" s="1">
        <v>8</v>
      </c>
      <c r="H13" s="1">
        <v>8.5</v>
      </c>
      <c r="I13" s="1">
        <v>8.5</v>
      </c>
      <c r="J13" s="1">
        <v>9</v>
      </c>
      <c r="K13" s="1">
        <v>9</v>
      </c>
      <c r="L13" s="1">
        <v>8.5</v>
      </c>
      <c r="M13" s="1">
        <v>7.5</v>
      </c>
      <c r="N13" s="1">
        <v>7</v>
      </c>
      <c r="O13" s="1">
        <v>6.5</v>
      </c>
      <c r="P13" s="1">
        <v>6.5</v>
      </c>
      <c r="R13" s="9" t="s">
        <v>56</v>
      </c>
      <c r="S13" s="5">
        <f>INDEX($D$3:$P$7,S9,MATCH(S8,$D$1:$P$1,0))</f>
        <v>1.5</v>
      </c>
      <c r="T13" s="4" t="s">
        <v>57</v>
      </c>
    </row>
    <row r="14" spans="1:23" ht="10.15" customHeight="1" x14ac:dyDescent="0.45">
      <c r="B14" s="7" t="s">
        <v>58</v>
      </c>
      <c r="D14" s="1">
        <v>3.5</v>
      </c>
      <c r="E14" s="1">
        <v>4</v>
      </c>
      <c r="F14" s="1">
        <v>4.5</v>
      </c>
      <c r="G14" s="1">
        <v>5.5</v>
      </c>
      <c r="H14" s="1">
        <v>6.5</v>
      </c>
      <c r="I14" s="1">
        <v>8.5</v>
      </c>
      <c r="J14" s="1">
        <v>9</v>
      </c>
      <c r="K14" s="1">
        <v>9</v>
      </c>
      <c r="L14" s="1">
        <v>7.5</v>
      </c>
      <c r="M14" s="1">
        <v>7.5</v>
      </c>
      <c r="N14" s="1">
        <v>6.5</v>
      </c>
      <c r="O14" s="1">
        <v>5.5</v>
      </c>
      <c r="P14" s="1">
        <v>4.5</v>
      </c>
      <c r="R14" s="9" t="s">
        <v>59</v>
      </c>
      <c r="S14" s="5">
        <f>INDEX($D$12:$P$15,S10,MATCH(S8,$D$10:$P$10,0))</f>
        <v>7.5</v>
      </c>
      <c r="T14" s="4" t="s">
        <v>60</v>
      </c>
      <c r="V14" s="10" t="s">
        <v>61</v>
      </c>
    </row>
    <row r="15" spans="1:23" ht="10.15" customHeight="1" x14ac:dyDescent="0.45">
      <c r="B15" s="7" t="s">
        <v>62</v>
      </c>
      <c r="D15" s="1">
        <v>2.5</v>
      </c>
      <c r="E15" s="1">
        <v>3</v>
      </c>
      <c r="F15" s="1">
        <v>3.5</v>
      </c>
      <c r="G15" s="1">
        <v>4.5</v>
      </c>
      <c r="H15" s="1">
        <v>5.5</v>
      </c>
      <c r="I15" s="1">
        <v>7</v>
      </c>
      <c r="J15" s="1">
        <v>9</v>
      </c>
      <c r="K15" s="1">
        <v>8.5</v>
      </c>
      <c r="L15" s="1">
        <v>7.5</v>
      </c>
      <c r="M15" s="1">
        <v>6</v>
      </c>
      <c r="N15" s="1">
        <v>4.5</v>
      </c>
      <c r="O15" s="1">
        <v>4.5</v>
      </c>
      <c r="P15" s="1">
        <v>3.5</v>
      </c>
      <c r="V15" s="10">
        <f>ROUND(MIN(10,V12*3.4),1)</f>
        <v>5.0999999999999996</v>
      </c>
    </row>
    <row r="16" spans="1:23" ht="10.15" customHeight="1" x14ac:dyDescent="0.4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8" t="s">
        <v>63</v>
      </c>
      <c r="S16" s="8"/>
      <c r="T16" s="8"/>
    </row>
    <row r="17" spans="18:23" ht="10.15" customHeight="1" x14ac:dyDescent="0.45">
      <c r="R17" s="11" t="s">
        <v>64</v>
      </c>
      <c r="S17" s="11"/>
      <c r="T17" s="11"/>
      <c r="V17" s="10" t="s">
        <v>65</v>
      </c>
    </row>
    <row r="18" spans="18:23" ht="10.15" customHeight="1" x14ac:dyDescent="0.45">
      <c r="R18" s="11" t="s">
        <v>66</v>
      </c>
      <c r="S18" s="11"/>
      <c r="T18" s="11"/>
      <c r="V18" s="10" t="str">
        <f>IF(W48&lt;0.75,"Distance only / No functional near",
IF(W48&lt;1.25,"Weak intermediate, poor near",
IF(W48&lt;1.75,"Functional intermediate, limited near",
IF(W48&lt;2.25,"Good intermediate and near",
"Excellent near performance"))))</f>
        <v>Functional intermediate, limited near</v>
      </c>
    </row>
    <row r="19" spans="18:23" ht="10.15" customHeight="1" x14ac:dyDescent="0.45">
      <c r="R19" s="11" t="s">
        <v>67</v>
      </c>
      <c r="S19" s="11"/>
      <c r="T19" s="11"/>
    </row>
    <row r="20" spans="18:23" x14ac:dyDescent="0.45">
      <c r="V20" s="7" t="s">
        <v>68</v>
      </c>
    </row>
    <row r="21" spans="18:23" x14ac:dyDescent="0.45">
      <c r="V21" s="7">
        <f>ROUND(MAX(0, S14 - MIN(2.5, 5*SQRT((W4)^2 + (0.7*W5)^2)*(S6/6)^3)),1)</f>
        <v>7.4</v>
      </c>
    </row>
    <row r="23" spans="18:23" x14ac:dyDescent="0.45">
      <c r="R23" s="12" t="s">
        <v>3</v>
      </c>
      <c r="S23" s="12">
        <f>'INPUT DATA'!E2</f>
        <v>0.1</v>
      </c>
      <c r="U23" s="7" t="s">
        <v>69</v>
      </c>
      <c r="V23" s="7" t="s">
        <v>70</v>
      </c>
    </row>
    <row r="24" spans="18:23" x14ac:dyDescent="0.45">
      <c r="R24" s="12" t="s">
        <v>4</v>
      </c>
      <c r="S24" s="12">
        <f>'INPUT DATA'!F2</f>
        <v>0.25</v>
      </c>
      <c r="U24" s="7">
        <f>ROUND(MIN(1.8,MAX(0,(S23-0.3)*4.5)),1)</f>
        <v>0</v>
      </c>
      <c r="V24" s="7">
        <f>ROUND(MAX(0,V21-U24),1)</f>
        <v>7.4</v>
      </c>
    </row>
    <row r="27" spans="18:23" x14ac:dyDescent="0.45">
      <c r="V27" s="10" t="s">
        <v>71</v>
      </c>
      <c r="W27" s="10" t="s">
        <v>72</v>
      </c>
    </row>
    <row r="28" spans="18:23" x14ac:dyDescent="0.45">
      <c r="V28" s="10">
        <f>ROUND(IF(V24&gt;=6,10,IF(V24&gt;=4,7+((V24-4)/2)*3,IF(V24&gt;=3,5+((V24-3)/1)*2,IF(V24&gt;=2,3+((V24-2)/1)*2,MAX(0,(V24/2)*3))))),1)</f>
        <v>10</v>
      </c>
      <c r="W28" s="10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excellent visual quality across all lighting conditions</v>
      </c>
    </row>
    <row r="30" spans="18:23" x14ac:dyDescent="0.45">
      <c r="V30" s="10" t="s">
        <v>73</v>
      </c>
    </row>
    <row r="31" spans="18:23" x14ac:dyDescent="0.45">
      <c r="V31" s="10">
        <f>'DYSPHOTOPSIA SCORES'!E19</f>
        <v>0.6</v>
      </c>
    </row>
    <row r="33" spans="22:23" x14ac:dyDescent="0.45">
      <c r="V33" s="10" t="s">
        <v>25</v>
      </c>
    </row>
    <row r="34" spans="22:23" x14ac:dyDescent="0.45">
      <c r="V34" s="10"/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7" spans="22:23" x14ac:dyDescent="0.45">
      <c r="V47" s="35" t="s">
        <v>115</v>
      </c>
      <c r="W47" s="35">
        <f>ROUND(V24*(1-(1-(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))*0.8),1)</f>
        <v>6.5</v>
      </c>
    </row>
    <row r="48" spans="22:23" x14ac:dyDescent="0.45">
      <c r="V48" s="35" t="s">
        <v>116</v>
      </c>
      <c r="W48" s="35">
        <f>ROUND(V12*(1-(1-(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))*0.8),2)</f>
        <v>1.39</v>
      </c>
    </row>
  </sheetData>
  <mergeCells count="3">
    <mergeCell ref="R1:T1"/>
    <mergeCell ref="R3:T3"/>
    <mergeCell ref="R12:T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8"/>
  <sheetViews>
    <sheetView topLeftCell="R22" zoomScale="116" workbookViewId="0">
      <selection activeCell="W29" sqref="W29"/>
    </sheetView>
  </sheetViews>
  <sheetFormatPr defaultColWidth="9" defaultRowHeight="14.25" x14ac:dyDescent="0.45"/>
  <cols>
    <col min="1" max="1" width="9.3984375" style="7" customWidth="1"/>
    <col min="2" max="2" width="14.3984375" style="7" bestFit="1" customWidth="1"/>
    <col min="3" max="3" width="15.59765625" style="7" customWidth="1"/>
    <col min="4" max="14" width="9" style="7"/>
    <col min="15" max="15" width="9.265625" style="7" customWidth="1"/>
    <col min="16" max="16" width="10.73046875" style="7" customWidth="1"/>
    <col min="17" max="17" width="9" style="7"/>
    <col min="18" max="18" width="18" style="7" customWidth="1"/>
    <col min="19" max="19" width="16" style="7" customWidth="1"/>
    <col min="20" max="20" width="14" style="7" customWidth="1"/>
    <col min="21" max="21" width="16" style="7" customWidth="1"/>
    <col min="22" max="22" width="42" style="7" customWidth="1"/>
    <col min="23" max="23" width="28.1328125" style="7" customWidth="1"/>
    <col min="24" max="24" width="9" style="7"/>
    <col min="25" max="25" width="17.3984375" style="7" customWidth="1"/>
    <col min="26" max="16384" width="9" style="7"/>
  </cols>
  <sheetData>
    <row r="1" spans="1:23" ht="12" customHeight="1" x14ac:dyDescent="0.45">
      <c r="A1" s="7" t="s">
        <v>31</v>
      </c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ht="10.15" customHeight="1" x14ac:dyDescent="0.45">
      <c r="B2" s="7" t="s">
        <v>1</v>
      </c>
    </row>
    <row r="3" spans="1:23" ht="11.1" customHeight="1" x14ac:dyDescent="0.45">
      <c r="B3" s="7">
        <v>2</v>
      </c>
      <c r="D3" s="7">
        <v>1.9</v>
      </c>
      <c r="E3" s="7">
        <v>1.9</v>
      </c>
      <c r="F3" s="7">
        <v>1.9</v>
      </c>
      <c r="G3" s="7">
        <v>1.9</v>
      </c>
      <c r="H3" s="7">
        <v>1.9</v>
      </c>
      <c r="I3" s="7">
        <v>2</v>
      </c>
      <c r="J3" s="7">
        <v>2</v>
      </c>
      <c r="K3" s="7">
        <v>2</v>
      </c>
      <c r="L3" s="7">
        <v>2</v>
      </c>
      <c r="M3" s="7">
        <v>2</v>
      </c>
      <c r="N3" s="7">
        <v>1.9</v>
      </c>
      <c r="O3" s="7">
        <v>1.9</v>
      </c>
      <c r="P3" s="7">
        <v>1.9</v>
      </c>
      <c r="R3" s="49" t="s">
        <v>35</v>
      </c>
      <c r="S3" s="49"/>
      <c r="T3" s="49"/>
    </row>
    <row r="4" spans="1:23" ht="10.15" customHeight="1" x14ac:dyDescent="0.45">
      <c r="B4" s="7">
        <v>3</v>
      </c>
      <c r="D4" s="1">
        <v>1.9</v>
      </c>
      <c r="E4" s="1">
        <v>1.9</v>
      </c>
      <c r="F4" s="1">
        <v>1.9</v>
      </c>
      <c r="G4" s="1">
        <v>1.8</v>
      </c>
      <c r="H4" s="1">
        <v>1.8</v>
      </c>
      <c r="I4" s="1">
        <v>1.8</v>
      </c>
      <c r="J4" s="1">
        <v>1.7</v>
      </c>
      <c r="K4" s="1">
        <v>1.7</v>
      </c>
      <c r="L4" s="1">
        <v>1.7</v>
      </c>
      <c r="M4" s="1">
        <v>1.7</v>
      </c>
      <c r="N4" s="1">
        <v>1.7</v>
      </c>
      <c r="O4" s="1">
        <v>1.7</v>
      </c>
      <c r="P4" s="1">
        <v>1.7</v>
      </c>
      <c r="R4" s="9" t="s">
        <v>37</v>
      </c>
      <c r="S4" s="2">
        <f>'INPUT DATA'!G2</f>
        <v>0.35</v>
      </c>
      <c r="V4" s="10" t="s">
        <v>38</v>
      </c>
      <c r="W4" s="10">
        <f>'INPUT DATA'!H2</f>
        <v>0.06</v>
      </c>
    </row>
    <row r="5" spans="1:23" ht="10.15" customHeight="1" x14ac:dyDescent="0.45">
      <c r="B5" s="7">
        <v>4</v>
      </c>
      <c r="D5" s="1">
        <f>ROUND((D4+D6)/2,1)</f>
        <v>1.3</v>
      </c>
      <c r="E5" s="1">
        <f t="shared" ref="E5:P5" si="0">ROUND((E4+E6)/2,1)</f>
        <v>1.3</v>
      </c>
      <c r="F5" s="1">
        <f t="shared" si="0"/>
        <v>1.3</v>
      </c>
      <c r="G5" s="1">
        <f t="shared" si="0"/>
        <v>1.3</v>
      </c>
      <c r="H5" s="1">
        <f t="shared" si="0"/>
        <v>1.3</v>
      </c>
      <c r="I5" s="1">
        <f t="shared" si="0"/>
        <v>1.3</v>
      </c>
      <c r="J5" s="1">
        <f t="shared" si="0"/>
        <v>1.2</v>
      </c>
      <c r="K5" s="1">
        <f t="shared" si="0"/>
        <v>1.3</v>
      </c>
      <c r="L5" s="1">
        <f t="shared" si="0"/>
        <v>1.3</v>
      </c>
      <c r="M5" s="1">
        <v>1.4</v>
      </c>
      <c r="N5" s="1">
        <v>1.3</v>
      </c>
      <c r="O5" s="1">
        <f t="shared" si="0"/>
        <v>1.2</v>
      </c>
      <c r="P5" s="1">
        <f t="shared" si="0"/>
        <v>1.2</v>
      </c>
      <c r="R5" s="9" t="s">
        <v>40</v>
      </c>
      <c r="S5" s="2">
        <f>'INPUT DATA'!C2</f>
        <v>1.8</v>
      </c>
      <c r="V5" s="10" t="s">
        <v>41</v>
      </c>
      <c r="W5" s="10">
        <f>'INPUT DATA'!I2</f>
        <v>0.05</v>
      </c>
    </row>
    <row r="6" spans="1:23" ht="10.15" customHeight="1" x14ac:dyDescent="0.45">
      <c r="B6" s="7">
        <v>5</v>
      </c>
      <c r="D6" s="1">
        <v>0.75</v>
      </c>
      <c r="E6" s="1">
        <v>0.75</v>
      </c>
      <c r="F6" s="1">
        <v>0.75</v>
      </c>
      <c r="G6" s="1">
        <v>0.75</v>
      </c>
      <c r="H6" s="1">
        <v>0.75</v>
      </c>
      <c r="I6" s="1">
        <v>0.75</v>
      </c>
      <c r="J6" s="1">
        <v>0.75</v>
      </c>
      <c r="K6" s="1">
        <v>0.85</v>
      </c>
      <c r="L6" s="1">
        <v>0.85</v>
      </c>
      <c r="M6" s="1">
        <v>1</v>
      </c>
      <c r="N6" s="1">
        <v>0.75</v>
      </c>
      <c r="O6" s="1">
        <v>0.75</v>
      </c>
      <c r="P6" s="1">
        <v>0.75</v>
      </c>
      <c r="R6" s="9" t="s">
        <v>43</v>
      </c>
      <c r="S6" s="2">
        <f>'INPUT DATA'!D2</f>
        <v>3.5</v>
      </c>
    </row>
    <row r="7" spans="1:23" ht="10.15" customHeight="1" x14ac:dyDescent="0.4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3" ht="10.15" customHeight="1" x14ac:dyDescent="0.45">
      <c r="R8" s="9" t="s">
        <v>45</v>
      </c>
      <c r="S8" s="3">
        <f>MIN($P$1,MAX($D$1,ROUND(S4,1)))</f>
        <v>0.4</v>
      </c>
      <c r="T8" s="4" t="s">
        <v>46</v>
      </c>
    </row>
    <row r="9" spans="1:23" ht="10.15" customHeight="1" x14ac:dyDescent="0.45">
      <c r="R9" s="9" t="s">
        <v>47</v>
      </c>
      <c r="S9" s="4">
        <f>IF(S5&lt;=3,1,IF(S5&lt;=4.4,2,3))</f>
        <v>1</v>
      </c>
      <c r="T9" s="4" t="s">
        <v>74</v>
      </c>
    </row>
    <row r="10" spans="1:23" ht="10.15" customHeight="1" x14ac:dyDescent="0.45">
      <c r="A10" s="7" t="s">
        <v>49</v>
      </c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9" t="s">
        <v>50</v>
      </c>
      <c r="S10" s="4">
        <f>IF(S6&lt;=3,1,IF(S6&lt;=4.4,2,3))</f>
        <v>2</v>
      </c>
      <c r="T10" s="4" t="s">
        <v>74</v>
      </c>
    </row>
    <row r="11" spans="1:23" ht="10.15" customHeight="1" x14ac:dyDescent="0.45">
      <c r="B11" s="7" t="s">
        <v>2</v>
      </c>
      <c r="V11" s="10" t="s">
        <v>75</v>
      </c>
      <c r="W11" s="7" t="s">
        <v>76</v>
      </c>
    </row>
    <row r="12" spans="1:23" ht="11.1" customHeight="1" x14ac:dyDescent="0.45">
      <c r="B12" s="7">
        <v>2</v>
      </c>
      <c r="D12" s="7">
        <v>6</v>
      </c>
      <c r="E12" s="7">
        <v>6</v>
      </c>
      <c r="F12" s="7">
        <v>6.3</v>
      </c>
      <c r="G12" s="7">
        <v>6.4</v>
      </c>
      <c r="H12" s="7">
        <v>6.5</v>
      </c>
      <c r="I12" s="7">
        <v>6.6</v>
      </c>
      <c r="J12" s="7">
        <v>6.7</v>
      </c>
      <c r="K12" s="7">
        <v>6.8</v>
      </c>
      <c r="L12" s="7">
        <v>6.9</v>
      </c>
      <c r="M12" s="7">
        <v>6.8</v>
      </c>
      <c r="N12" s="7">
        <v>6.8</v>
      </c>
      <c r="O12" s="7">
        <v>6.8</v>
      </c>
      <c r="P12" s="7">
        <v>6.8</v>
      </c>
      <c r="R12" s="49" t="s">
        <v>54</v>
      </c>
      <c r="S12" s="49"/>
      <c r="T12" s="49"/>
      <c r="V12" s="10">
        <f>ROUND((S13+ MIN(0.45,1*SQRT((W4)^2+(0.7*W5)^2)*(S5/6)^3))*W12,2)</f>
        <v>2</v>
      </c>
      <c r="W12" s="7">
        <f>IF(S23&lt;=0.25,1,
 IF(S23&lt;=0.35,1-((S23-0.25)/0.1)*0.08,
 IF(S23&lt;=0.4,0.92-((S23-0.35)/0.05)*0.12,
 0.8)))</f>
        <v>1</v>
      </c>
    </row>
    <row r="13" spans="1:23" ht="10.15" customHeight="1" x14ac:dyDescent="0.45">
      <c r="B13" s="7">
        <v>3</v>
      </c>
      <c r="D13" s="1">
        <v>4.5</v>
      </c>
      <c r="E13" s="1">
        <v>4.5</v>
      </c>
      <c r="F13" s="1">
        <v>4.5</v>
      </c>
      <c r="G13" s="1">
        <v>4.8</v>
      </c>
      <c r="H13" s="1">
        <v>5</v>
      </c>
      <c r="I13" s="1">
        <v>5.2</v>
      </c>
      <c r="J13" s="1">
        <v>5.8</v>
      </c>
      <c r="K13" s="1">
        <v>6.2</v>
      </c>
      <c r="L13" s="1">
        <v>6.6</v>
      </c>
      <c r="M13" s="1">
        <v>6.6</v>
      </c>
      <c r="N13" s="1">
        <v>6.2</v>
      </c>
      <c r="O13" s="1">
        <v>6</v>
      </c>
      <c r="P13" s="1">
        <v>5.6</v>
      </c>
      <c r="R13" s="9" t="s">
        <v>56</v>
      </c>
      <c r="S13" s="5">
        <f>ROUND(
INDEX($D$3:$P$6,
MATCH(MAX(2,MIN(5,S5)),$B$3:$B$6,1),
MATCH(MAX(-0.5,MIN(1,S4)),$D$1:$P$1,1)
),
2)</f>
        <v>2</v>
      </c>
      <c r="T13" s="4" t="s">
        <v>57</v>
      </c>
    </row>
    <row r="14" spans="1:23" ht="10.15" customHeight="1" x14ac:dyDescent="0.45">
      <c r="B14" s="7">
        <v>4</v>
      </c>
      <c r="D14" s="7">
        <v>3.8</v>
      </c>
      <c r="E14" s="7">
        <v>3.8</v>
      </c>
      <c r="F14" s="7">
        <v>3.8</v>
      </c>
      <c r="G14" s="7">
        <v>4</v>
      </c>
      <c r="H14" s="7">
        <v>4.5</v>
      </c>
      <c r="I14" s="7">
        <v>5.5</v>
      </c>
      <c r="J14" s="7">
        <v>6</v>
      </c>
      <c r="K14" s="7">
        <v>6.5</v>
      </c>
      <c r="L14" s="7">
        <v>6.7</v>
      </c>
      <c r="M14" s="7">
        <v>5.8</v>
      </c>
      <c r="N14" s="7">
        <v>4.8</v>
      </c>
      <c r="O14" s="7">
        <v>3.8</v>
      </c>
      <c r="P14" s="7">
        <v>3.8</v>
      </c>
      <c r="R14" s="9" t="s">
        <v>59</v>
      </c>
      <c r="S14" s="5">
        <f>ROUND(
INDEX($D$12:$P$15,
MATCH(MAX(2,MIN(5,S6)),$B$12:$B$15,1),
MATCH(MAX(-0.5,MIN(1,S4)),$D$10:$P$10,1)
),
2)</f>
        <v>6.6</v>
      </c>
      <c r="T14" s="4" t="s">
        <v>60</v>
      </c>
      <c r="V14" s="10" t="s">
        <v>61</v>
      </c>
    </row>
    <row r="15" spans="1:23" ht="10.15" customHeight="1" x14ac:dyDescent="0.45">
      <c r="B15" s="7">
        <v>5</v>
      </c>
      <c r="D15" s="1">
        <v>2</v>
      </c>
      <c r="E15" s="1">
        <v>2.4</v>
      </c>
      <c r="F15" s="1">
        <v>2.8</v>
      </c>
      <c r="G15" s="1">
        <v>3.4</v>
      </c>
      <c r="H15" s="1">
        <v>3.5</v>
      </c>
      <c r="I15" s="1">
        <v>3.8</v>
      </c>
      <c r="J15" s="1">
        <v>4.3</v>
      </c>
      <c r="K15" s="1">
        <v>5.6</v>
      </c>
      <c r="L15" s="1">
        <v>5</v>
      </c>
      <c r="M15" s="1">
        <v>4.2</v>
      </c>
      <c r="N15" s="1">
        <v>3.7</v>
      </c>
      <c r="O15" s="1">
        <v>2.8</v>
      </c>
      <c r="P15" s="1">
        <v>2.8</v>
      </c>
      <c r="V15" s="10">
        <f>ROUND(MIN(10,V12*3.4),1)</f>
        <v>6.8</v>
      </c>
    </row>
    <row r="16" spans="1:23" ht="10.15" customHeight="1" x14ac:dyDescent="0.4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8" t="s">
        <v>63</v>
      </c>
      <c r="S16" s="8"/>
      <c r="T16" s="8"/>
    </row>
    <row r="17" spans="18:23" ht="10.15" customHeight="1" x14ac:dyDescent="0.45">
      <c r="R17" s="11" t="s">
        <v>64</v>
      </c>
      <c r="S17" s="11"/>
      <c r="T17" s="11"/>
      <c r="V17" s="10" t="s">
        <v>65</v>
      </c>
    </row>
    <row r="18" spans="18:23" ht="10.15" customHeight="1" x14ac:dyDescent="0.45">
      <c r="R18" s="11" t="s">
        <v>66</v>
      </c>
      <c r="S18" s="11"/>
      <c r="T18" s="11"/>
      <c r="V18" s="10" t="str">
        <f>IF(W48&lt;0.75,"Distance only / No functional near",
IF(W48&lt;1.25,"Weak intermediate, poor near",
IF(W48&lt;1.75,"Functional intermediate, limited near",
IF(W48&lt;2.25,"Good intermediate and near",
"Excellent near performance"))))</f>
        <v>Good intermediate and near</v>
      </c>
    </row>
    <row r="19" spans="18:23" ht="10.15" customHeight="1" x14ac:dyDescent="0.45">
      <c r="R19" s="11" t="s">
        <v>67</v>
      </c>
      <c r="S19" s="11"/>
      <c r="T19" s="11"/>
    </row>
    <row r="20" spans="18:23" x14ac:dyDescent="0.45">
      <c r="V20" s="7" t="s">
        <v>68</v>
      </c>
    </row>
    <row r="21" spans="18:23" x14ac:dyDescent="0.45">
      <c r="V21" s="7">
        <f>ROUND(MAX(0, S14 - MIN(2.5, 5*SQRT((W4)^2 + (0.7*W5)^2)*(S6/6)^3)),1)</f>
        <v>6.5</v>
      </c>
    </row>
    <row r="23" spans="18:23" x14ac:dyDescent="0.45">
      <c r="R23" s="12" t="s">
        <v>3</v>
      </c>
      <c r="S23" s="12">
        <f>'INPUT DATA'!E2</f>
        <v>0.1</v>
      </c>
      <c r="U23" s="7" t="s">
        <v>69</v>
      </c>
      <c r="V23" s="7" t="s">
        <v>70</v>
      </c>
    </row>
    <row r="24" spans="18:23" x14ac:dyDescent="0.45">
      <c r="R24" s="12" t="s">
        <v>4</v>
      </c>
      <c r="S24" s="12">
        <f>'INPUT DATA'!F2</f>
        <v>0.25</v>
      </c>
      <c r="U24" s="7">
        <f>ROUND(MIN(1.2,MAX(0,(S23-0.3)*3)),1)</f>
        <v>0</v>
      </c>
      <c r="V24" s="7">
        <f>ROUND(MAX(0,V21-U24),1)</f>
        <v>6.5</v>
      </c>
    </row>
    <row r="27" spans="18:23" x14ac:dyDescent="0.45">
      <c r="V27" s="10" t="s">
        <v>71</v>
      </c>
      <c r="W27" s="10" t="s">
        <v>72</v>
      </c>
    </row>
    <row r="28" spans="18:23" x14ac:dyDescent="0.45">
      <c r="V28" s="10">
        <f>ROUND(IF(V24&gt;=6,10,IF(V24&gt;=4,7+((V24-4)/2)*3,IF(V24&gt;=3,5+((V24-3)/1)*2,IF(V24&gt;=2,3+((V24-2)/1)*2,MAX(0,(V24/2)*3))))),1)</f>
        <v>10</v>
      </c>
      <c r="W28" s="10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Excellent visual quality in normal lighting; mild reduction may be noticed in very low-light conditions</v>
      </c>
    </row>
    <row r="30" spans="18:23" x14ac:dyDescent="0.45">
      <c r="V30" s="10" t="s">
        <v>73</v>
      </c>
    </row>
    <row r="31" spans="18:23" x14ac:dyDescent="0.45">
      <c r="V31" s="10">
        <f>'DYSPHOTOPSIA SCORES'!E23</f>
        <v>2.5</v>
      </c>
    </row>
    <row r="33" spans="22:23" x14ac:dyDescent="0.45">
      <c r="V33" s="10" t="s">
        <v>25</v>
      </c>
    </row>
    <row r="34" spans="22:23" x14ac:dyDescent="0.45">
      <c r="V34" s="10"/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7" spans="22:23" x14ac:dyDescent="0.45">
      <c r="V47" s="35" t="s">
        <v>115</v>
      </c>
      <c r="W47" s="35">
        <f>ROUND(V24*(1-(1-(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))*0.95),1)</f>
        <v>5.6</v>
      </c>
    </row>
    <row r="48" spans="22:23" x14ac:dyDescent="0.45">
      <c r="V48" s="35" t="s">
        <v>116</v>
      </c>
      <c r="W48" s="35">
        <f>ROUND(V12*(1-(1-(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))*0.95),2)</f>
        <v>1.83</v>
      </c>
    </row>
  </sheetData>
  <mergeCells count="3">
    <mergeCell ref="R1:T1"/>
    <mergeCell ref="R3:T3"/>
    <mergeCell ref="R12:T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A6F5-06B3-4533-90F4-8CA8641F3160}">
  <dimension ref="A1:W48"/>
  <sheetViews>
    <sheetView topLeftCell="C1" zoomScale="98" zoomScaleNormal="90" workbookViewId="0">
      <selection activeCell="W29" sqref="W29"/>
    </sheetView>
  </sheetViews>
  <sheetFormatPr defaultColWidth="9" defaultRowHeight="14.25" x14ac:dyDescent="0.45"/>
  <cols>
    <col min="1" max="1" width="9.3984375" style="7" customWidth="1"/>
    <col min="2" max="2" width="14" style="7" customWidth="1"/>
    <col min="3" max="3" width="15.59765625" style="7" customWidth="1"/>
    <col min="4" max="14" width="9" style="7"/>
    <col min="15" max="15" width="9.265625" style="7" customWidth="1"/>
    <col min="16" max="16" width="10.73046875" style="7" customWidth="1"/>
    <col min="17" max="17" width="9" style="7"/>
    <col min="18" max="18" width="18" style="7" customWidth="1"/>
    <col min="19" max="19" width="16" style="7" customWidth="1"/>
    <col min="20" max="20" width="14" style="7" customWidth="1"/>
    <col min="21" max="21" width="16" style="7" customWidth="1"/>
    <col min="22" max="22" width="42" style="7" customWidth="1"/>
    <col min="23" max="23" width="28.1328125" style="7" customWidth="1"/>
    <col min="24" max="24" width="9" style="7"/>
    <col min="25" max="25" width="17.3984375" style="7" customWidth="1"/>
    <col min="26" max="16384" width="9" style="7"/>
  </cols>
  <sheetData>
    <row r="1" spans="1:23" ht="12" customHeight="1" x14ac:dyDescent="0.45">
      <c r="A1" s="7" t="s">
        <v>31</v>
      </c>
      <c r="C1" s="7" t="s">
        <v>32</v>
      </c>
      <c r="D1" s="6">
        <v>-0.5</v>
      </c>
      <c r="E1" s="6">
        <v>-0.4</v>
      </c>
      <c r="F1" s="6">
        <v>-0.3</v>
      </c>
      <c r="G1" s="6">
        <v>-0.2</v>
      </c>
      <c r="H1" s="6">
        <v>-0.1</v>
      </c>
      <c r="I1" s="6">
        <v>0</v>
      </c>
      <c r="J1" s="6">
        <v>0.1</v>
      </c>
      <c r="K1" s="6">
        <v>0.2</v>
      </c>
      <c r="L1" s="6">
        <v>0.3</v>
      </c>
      <c r="M1" s="6">
        <v>0.4</v>
      </c>
      <c r="N1" s="6">
        <v>0.5</v>
      </c>
      <c r="O1" s="6">
        <v>0.6</v>
      </c>
      <c r="P1" s="6">
        <v>1</v>
      </c>
      <c r="R1" s="48" t="s">
        <v>33</v>
      </c>
      <c r="S1" s="48"/>
      <c r="T1" s="48"/>
    </row>
    <row r="2" spans="1:23" ht="10.15" customHeight="1" x14ac:dyDescent="0.45">
      <c r="B2" s="7" t="s">
        <v>1</v>
      </c>
    </row>
    <row r="3" spans="1:23" ht="11.1" customHeight="1" x14ac:dyDescent="0.45">
      <c r="B3" s="7">
        <v>2</v>
      </c>
      <c r="D3" s="1">
        <v>1.8</v>
      </c>
      <c r="E3" s="1">
        <v>1.8</v>
      </c>
      <c r="F3" s="1">
        <v>1.8</v>
      </c>
      <c r="G3" s="1">
        <v>1.8</v>
      </c>
      <c r="H3" s="1">
        <v>1.8</v>
      </c>
      <c r="I3" s="1">
        <v>1.8</v>
      </c>
      <c r="J3" s="1">
        <v>1.8</v>
      </c>
      <c r="K3" s="1">
        <v>1.8</v>
      </c>
      <c r="L3" s="1">
        <v>1.8</v>
      </c>
      <c r="M3" s="1">
        <v>1.8</v>
      </c>
      <c r="N3" s="1">
        <v>1.7</v>
      </c>
      <c r="O3" s="1">
        <v>1.7</v>
      </c>
      <c r="P3" s="1">
        <v>1.7</v>
      </c>
      <c r="R3" s="49" t="s">
        <v>35</v>
      </c>
      <c r="S3" s="49"/>
      <c r="T3" s="49"/>
    </row>
    <row r="4" spans="1:23" ht="10.15" customHeight="1" x14ac:dyDescent="0.45">
      <c r="B4" s="7">
        <v>3</v>
      </c>
      <c r="D4" s="1">
        <v>1.25</v>
      </c>
      <c r="E4" s="1">
        <v>1.1000000000000001</v>
      </c>
      <c r="F4" s="1">
        <v>0.75</v>
      </c>
      <c r="G4" s="1">
        <v>0.75</v>
      </c>
      <c r="H4" s="1">
        <v>1</v>
      </c>
      <c r="I4" s="1">
        <v>1.2</v>
      </c>
      <c r="J4" s="1">
        <v>1.4</v>
      </c>
      <c r="K4" s="1">
        <v>1.7</v>
      </c>
      <c r="L4" s="1">
        <v>1.9</v>
      </c>
      <c r="M4" s="1">
        <v>2</v>
      </c>
      <c r="N4" s="1">
        <v>1.9</v>
      </c>
      <c r="O4" s="1">
        <v>1.9</v>
      </c>
      <c r="P4" s="1">
        <v>1.9</v>
      </c>
      <c r="R4" s="9" t="s">
        <v>37</v>
      </c>
      <c r="S4" s="2">
        <f>'INPUT DATA'!G2</f>
        <v>0.35</v>
      </c>
      <c r="V4" s="10" t="s">
        <v>38</v>
      </c>
      <c r="W4" s="10">
        <f>'INPUT DATA'!H2</f>
        <v>0.06</v>
      </c>
    </row>
    <row r="5" spans="1:23" ht="10.15" customHeight="1" x14ac:dyDescent="0.45">
      <c r="B5" s="7">
        <v>4</v>
      </c>
      <c r="D5" s="1">
        <v>0.5</v>
      </c>
      <c r="E5" s="1">
        <v>0.75</v>
      </c>
      <c r="F5" s="1">
        <v>1</v>
      </c>
      <c r="G5" s="1">
        <v>1.1000000000000001</v>
      </c>
      <c r="H5" s="1">
        <v>1.2</v>
      </c>
      <c r="I5" s="1">
        <v>1.4</v>
      </c>
      <c r="J5" s="1">
        <v>1.4</v>
      </c>
      <c r="K5" s="1">
        <v>1.4</v>
      </c>
      <c r="L5" s="1">
        <v>1.5</v>
      </c>
      <c r="M5" s="1">
        <v>1.3</v>
      </c>
      <c r="N5" s="1">
        <v>1.2</v>
      </c>
      <c r="O5" s="1">
        <v>1</v>
      </c>
      <c r="P5" s="1">
        <v>0.75</v>
      </c>
      <c r="R5" s="9" t="s">
        <v>40</v>
      </c>
      <c r="S5" s="2">
        <f>'INPUT DATA'!C2</f>
        <v>1.8</v>
      </c>
      <c r="V5" s="10" t="s">
        <v>41</v>
      </c>
      <c r="W5" s="10">
        <f>'INPUT DATA'!I2</f>
        <v>0.05</v>
      </c>
    </row>
    <row r="6" spans="1:23" ht="10.15" customHeight="1" x14ac:dyDescent="0.45">
      <c r="B6" s="7">
        <v>5</v>
      </c>
      <c r="D6" s="1">
        <v>0.5</v>
      </c>
      <c r="E6" s="1">
        <v>0.5</v>
      </c>
      <c r="F6" s="1">
        <v>0.5</v>
      </c>
      <c r="G6" s="1">
        <v>0.5</v>
      </c>
      <c r="H6" s="1">
        <v>0.5</v>
      </c>
      <c r="I6" s="1">
        <v>0.75</v>
      </c>
      <c r="J6" s="1">
        <v>0.75</v>
      </c>
      <c r="K6" s="1">
        <v>0.75</v>
      </c>
      <c r="L6" s="1">
        <v>1</v>
      </c>
      <c r="M6" s="1">
        <v>1</v>
      </c>
      <c r="N6" s="1">
        <v>0.75</v>
      </c>
      <c r="O6" s="1">
        <v>0.75</v>
      </c>
      <c r="P6" s="1">
        <v>0.75</v>
      </c>
      <c r="R6" s="9" t="s">
        <v>43</v>
      </c>
      <c r="S6" s="2">
        <f>'INPUT DATA'!D2</f>
        <v>3.5</v>
      </c>
    </row>
    <row r="7" spans="1:23" ht="10.15" customHeight="1" x14ac:dyDescent="0.4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3" ht="10.15" customHeight="1" x14ac:dyDescent="0.45">
      <c r="R8" s="9" t="s">
        <v>45</v>
      </c>
      <c r="S8" s="3">
        <f>MIN($P$1,MAX($D$1,ROUND(S4,1)))</f>
        <v>0.4</v>
      </c>
      <c r="T8" s="4" t="s">
        <v>46</v>
      </c>
    </row>
    <row r="9" spans="1:23" ht="10.15" customHeight="1" x14ac:dyDescent="0.45">
      <c r="R9" s="9" t="s">
        <v>47</v>
      </c>
      <c r="S9" s="4">
        <f>IF(S5&lt;=3,1,IF(S5&lt;=4.4,2,3))</f>
        <v>1</v>
      </c>
      <c r="T9" s="4" t="s">
        <v>74</v>
      </c>
    </row>
    <row r="10" spans="1:23" ht="10.15" customHeight="1" x14ac:dyDescent="0.45">
      <c r="A10" s="7" t="s">
        <v>49</v>
      </c>
      <c r="C10" s="7" t="s">
        <v>32</v>
      </c>
      <c r="D10" s="6">
        <v>-0.5</v>
      </c>
      <c r="E10" s="6">
        <v>-0.4</v>
      </c>
      <c r="F10" s="6">
        <v>-0.3</v>
      </c>
      <c r="G10" s="6">
        <v>-0.2</v>
      </c>
      <c r="H10" s="6">
        <v>-0.1</v>
      </c>
      <c r="I10" s="6">
        <v>0</v>
      </c>
      <c r="J10" s="6">
        <v>0.1</v>
      </c>
      <c r="K10" s="6">
        <v>0.2</v>
      </c>
      <c r="L10" s="6">
        <v>0.3</v>
      </c>
      <c r="M10" s="6">
        <v>0.4</v>
      </c>
      <c r="N10" s="6">
        <v>0.5</v>
      </c>
      <c r="O10" s="6">
        <v>0.6</v>
      </c>
      <c r="P10" s="6">
        <v>1</v>
      </c>
      <c r="R10" s="9" t="s">
        <v>50</v>
      </c>
      <c r="S10" s="4">
        <f>IF(S6&lt;=3,1,IF(S6&lt;=4.4,2,3))</f>
        <v>2</v>
      </c>
      <c r="T10" s="4" t="s">
        <v>74</v>
      </c>
    </row>
    <row r="11" spans="1:23" ht="10.15" customHeight="1" x14ac:dyDescent="0.45">
      <c r="B11" s="7" t="s">
        <v>2</v>
      </c>
      <c r="V11" s="10" t="s">
        <v>75</v>
      </c>
      <c r="W11" s="7" t="s">
        <v>76</v>
      </c>
    </row>
    <row r="12" spans="1:23" ht="11.1" customHeight="1" x14ac:dyDescent="0.45">
      <c r="B12" s="7">
        <v>2</v>
      </c>
      <c r="D12" s="7">
        <v>6.5</v>
      </c>
      <c r="E12" s="7">
        <v>6.5</v>
      </c>
      <c r="F12" s="7">
        <v>6.5</v>
      </c>
      <c r="G12" s="7">
        <v>7</v>
      </c>
      <c r="H12" s="7">
        <v>7</v>
      </c>
      <c r="I12" s="7">
        <v>7.5</v>
      </c>
      <c r="J12" s="7">
        <v>7.5</v>
      </c>
      <c r="K12" s="7">
        <v>7.5</v>
      </c>
      <c r="L12" s="7">
        <v>7.5</v>
      </c>
      <c r="M12" s="7">
        <v>7.5</v>
      </c>
      <c r="N12" s="7">
        <v>7</v>
      </c>
      <c r="O12" s="7">
        <v>7</v>
      </c>
      <c r="P12" s="7">
        <v>7</v>
      </c>
      <c r="R12" s="49" t="s">
        <v>54</v>
      </c>
      <c r="S12" s="49"/>
      <c r="T12" s="49"/>
      <c r="V12" s="10">
        <f>ROUND((S13+ MIN(0.45,1*SQRT((W4)^2+(0.7*W5)^2)*(S5/6)^3))*W12,2)</f>
        <v>1.8</v>
      </c>
      <c r="W12" s="7">
        <f>IF(S23&lt;=0.25,1,
 IF(S23&lt;=0.35,1-((S23-0.25)/0.1)*0.08,
 IF(S23&lt;=0.4,0.92-((S23-0.35)/0.05)*0.12,
 0.8)))</f>
        <v>1</v>
      </c>
    </row>
    <row r="13" spans="1:23" ht="10.15" customHeight="1" x14ac:dyDescent="0.45">
      <c r="B13" s="7">
        <v>3</v>
      </c>
      <c r="D13" s="1">
        <v>5.5</v>
      </c>
      <c r="E13" s="1">
        <v>5.5</v>
      </c>
      <c r="F13" s="1">
        <v>6</v>
      </c>
      <c r="G13" s="1">
        <v>6.5</v>
      </c>
      <c r="H13" s="1">
        <v>7</v>
      </c>
      <c r="I13" s="1">
        <v>7.5</v>
      </c>
      <c r="J13" s="1">
        <v>7</v>
      </c>
      <c r="K13" s="1">
        <v>6.3</v>
      </c>
      <c r="L13" s="1">
        <v>5.7</v>
      </c>
      <c r="M13" s="1">
        <v>5</v>
      </c>
      <c r="N13" s="1">
        <v>4.5</v>
      </c>
      <c r="O13" s="1">
        <v>4</v>
      </c>
      <c r="P13" s="1">
        <v>4</v>
      </c>
      <c r="R13" s="9" t="s">
        <v>56</v>
      </c>
      <c r="S13" s="5">
        <f>ROUND(
INDEX($D$3:$P$6,
MATCH(MAX(2,MIN(5,S5)),$B$3:$B$6,1),
MATCH(MAX(-0.5,MIN(1,S4)),$D$1:$P$1,1)
),
2)</f>
        <v>1.8</v>
      </c>
      <c r="T13" s="4" t="s">
        <v>57</v>
      </c>
    </row>
    <row r="14" spans="1:23" ht="10.15" customHeight="1" x14ac:dyDescent="0.45">
      <c r="B14" s="7">
        <v>4</v>
      </c>
      <c r="D14" s="7">
        <v>3.8</v>
      </c>
      <c r="E14" s="7">
        <v>3.8</v>
      </c>
      <c r="F14" s="7">
        <v>3.8</v>
      </c>
      <c r="G14" s="7">
        <v>4</v>
      </c>
      <c r="H14" s="7">
        <v>4</v>
      </c>
      <c r="I14" s="7">
        <v>4.5</v>
      </c>
      <c r="J14" s="7">
        <v>4.2</v>
      </c>
      <c r="K14" s="7">
        <v>4</v>
      </c>
      <c r="L14" s="7">
        <v>3.5</v>
      </c>
      <c r="M14" s="7">
        <v>3.2</v>
      </c>
      <c r="N14" s="7">
        <v>3</v>
      </c>
      <c r="O14" s="7">
        <v>2.8</v>
      </c>
      <c r="P14" s="7">
        <v>2.8</v>
      </c>
      <c r="R14" s="9" t="s">
        <v>59</v>
      </c>
      <c r="S14" s="5">
        <f>ROUND(
INDEX($D$12:$P$15,
MATCH(MAX(2,MIN(5,S6)),$B$12:$B$15,1),
MATCH(MAX(-0.5,MIN(1,S4)),$D$10:$P$10,1)
),
2)</f>
        <v>5.7</v>
      </c>
      <c r="T14" s="4" t="s">
        <v>60</v>
      </c>
      <c r="V14" s="10" t="s">
        <v>61</v>
      </c>
    </row>
    <row r="15" spans="1:23" ht="10.15" customHeight="1" x14ac:dyDescent="0.45">
      <c r="B15" s="7">
        <v>5</v>
      </c>
      <c r="D15" s="1">
        <v>2</v>
      </c>
      <c r="E15" s="1">
        <v>2.4</v>
      </c>
      <c r="F15" s="1">
        <v>2.8</v>
      </c>
      <c r="G15" s="1">
        <v>3</v>
      </c>
      <c r="H15" s="1">
        <v>3.2</v>
      </c>
      <c r="I15" s="1">
        <v>4</v>
      </c>
      <c r="J15" s="1">
        <v>3.5</v>
      </c>
      <c r="K15" s="1">
        <v>3.2</v>
      </c>
      <c r="L15" s="1">
        <v>3</v>
      </c>
      <c r="M15" s="1">
        <v>2.5</v>
      </c>
      <c r="N15" s="1">
        <v>2</v>
      </c>
      <c r="O15" s="1">
        <v>1.8</v>
      </c>
      <c r="P15" s="1">
        <v>1.8</v>
      </c>
      <c r="V15" s="10">
        <f>ROUND(MIN(10,V12*3.4),1)</f>
        <v>6.1</v>
      </c>
    </row>
    <row r="16" spans="1:23" ht="10.15" customHeight="1" x14ac:dyDescent="0.4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8" t="s">
        <v>63</v>
      </c>
      <c r="S16" s="8"/>
      <c r="T16" s="8"/>
    </row>
    <row r="17" spans="4:23" ht="10.15" customHeight="1" x14ac:dyDescent="0.45">
      <c r="R17" s="11" t="s">
        <v>64</v>
      </c>
      <c r="S17" s="11"/>
      <c r="T17" s="11"/>
      <c r="V17" s="10" t="s">
        <v>65</v>
      </c>
    </row>
    <row r="18" spans="4:23" ht="10.15" customHeight="1" x14ac:dyDescent="0.45">
      <c r="R18" s="11" t="s">
        <v>66</v>
      </c>
      <c r="S18" s="11"/>
      <c r="T18" s="11"/>
      <c r="V18" s="10" t="str">
        <f>IF(W48&lt;0.75,"Distance only / No functional near",
IF(W48&lt;1.25,"Weak intermediate, poor near",
IF(W48&lt;1.75,"Functional intermediate, limited near",
IF(W48&lt;2.25,"Good intermediate and near",
"Excellent near performance"))))</f>
        <v>Functional intermediate, limited near</v>
      </c>
    </row>
    <row r="19" spans="4:23" ht="10.15" customHeight="1" x14ac:dyDescent="0.45">
      <c r="R19" s="11" t="s">
        <v>67</v>
      </c>
      <c r="S19" s="11"/>
      <c r="T19" s="11"/>
    </row>
    <row r="20" spans="4:23" x14ac:dyDescent="0.45"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V20" s="7" t="s">
        <v>68</v>
      </c>
    </row>
    <row r="21" spans="4:23" x14ac:dyDescent="0.45">
      <c r="V21" s="7">
        <f>ROUND(MAX(0, S14 - MIN(2.5, 5*SQRT((W4)^2 + (0.7*W5)^2)*(S6/6)^3)),1)</f>
        <v>5.6</v>
      </c>
    </row>
    <row r="23" spans="4:23" x14ac:dyDescent="0.45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R23" s="12" t="s">
        <v>3</v>
      </c>
      <c r="S23" s="12">
        <f>'INPUT DATA'!E2</f>
        <v>0.1</v>
      </c>
      <c r="U23" s="7" t="s">
        <v>69</v>
      </c>
      <c r="V23" s="7" t="s">
        <v>70</v>
      </c>
    </row>
    <row r="24" spans="4:23" x14ac:dyDescent="0.45">
      <c r="R24" s="12" t="s">
        <v>4</v>
      </c>
      <c r="S24" s="12">
        <f>'INPUT DATA'!F2</f>
        <v>0.25</v>
      </c>
      <c r="U24" s="7">
        <f>ROUND(MIN(1.2,MAX(0,(S23-0.3)*3)),1)</f>
        <v>0</v>
      </c>
      <c r="V24" s="7">
        <f>ROUND(MAX(0,V21-U24),1)</f>
        <v>5.6</v>
      </c>
    </row>
    <row r="25" spans="4:23" x14ac:dyDescent="0.45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7" spans="4:23" x14ac:dyDescent="0.45">
      <c r="V27" s="10" t="s">
        <v>71</v>
      </c>
      <c r="W27" s="10" t="s">
        <v>72</v>
      </c>
    </row>
    <row r="28" spans="4:23" x14ac:dyDescent="0.45">
      <c r="V28" s="10">
        <f>ROUND(IF(V24&gt;=6,10,IF(V24&gt;=4,7+((V24-4)/2)*3,IF(V24&gt;=3,5+((V24-3)/1)*2,IF(V24&gt;=2,3+((V24-2)/1)*2,MAX(0,(V24/2)*3))))),1)</f>
        <v>9.4</v>
      </c>
      <c r="W28" s="10" t="str">
        <f>IF(W47&gt;=6,"excellent visual quality across all lighting conditions",IF(W47&gt;=5,"Excellent visual quality in normal lighting; mild reduction may be noticed in very low-light conditions",IF(W47&gt;=4,"Very good visual quality in bright lighting; noticeable decline in low-light environments",IF(W47&gt;=3,"Functional visual quality in good lighting; significant deterioration expected in dim light",IF(W47&gt;=2,"Suboptimal visual quality even in bright conditions; poor performance in low light","Poor overall visual quality across all lighting conditions")))))</f>
        <v>Very good visual quality in bright lighting; noticeable decline in low-light environments</v>
      </c>
    </row>
    <row r="30" spans="4:23" x14ac:dyDescent="0.45">
      <c r="V30" s="10" t="s">
        <v>73</v>
      </c>
    </row>
    <row r="31" spans="4:23" x14ac:dyDescent="0.45">
      <c r="V31" s="10">
        <f>'DYSPHOTOPSIA SCORES'!E22</f>
        <v>2.2000000000000002</v>
      </c>
    </row>
    <row r="33" spans="22:23" x14ac:dyDescent="0.45">
      <c r="V33" s="10" t="s">
        <v>25</v>
      </c>
    </row>
    <row r="34" spans="22:23" x14ac:dyDescent="0.45">
      <c r="V34" s="10"/>
    </row>
    <row r="38" spans="22:23" x14ac:dyDescent="0.45">
      <c r="V38" s="34" t="s">
        <v>112</v>
      </c>
      <c r="W38" s="34" t="s">
        <v>113</v>
      </c>
    </row>
    <row r="39" spans="22:23" x14ac:dyDescent="0.45">
      <c r="V39" s="34" t="str">
        <f>'INPUT DATA'!J2</f>
        <v>CORNEAL ENDOTHELIAL DISEASE</v>
      </c>
      <c r="W39" s="34">
        <f>'INPUT DATA'!K2</f>
        <v>1</v>
      </c>
    </row>
    <row r="40" spans="22:23" x14ac:dyDescent="0.45">
      <c r="V40" s="34" t="str">
        <f>'INPUT DATA'!J3</f>
        <v>DRY EYE DISEASE</v>
      </c>
      <c r="W40" s="34">
        <f>'INPUT DATA'!K3</f>
        <v>1</v>
      </c>
    </row>
    <row r="41" spans="22:23" x14ac:dyDescent="0.45">
      <c r="V41" s="34">
        <f>'INPUT DATA'!J4</f>
        <v>0</v>
      </c>
      <c r="W41" s="34">
        <f>'INPUT DATA'!K4</f>
        <v>0</v>
      </c>
    </row>
    <row r="42" spans="22:23" x14ac:dyDescent="0.45">
      <c r="V42" s="34">
        <f>'INPUT DATA'!J5</f>
        <v>0</v>
      </c>
      <c r="W42" s="34">
        <f>'INPUT DATA'!K5</f>
        <v>0</v>
      </c>
    </row>
    <row r="43" spans="22:23" x14ac:dyDescent="0.45">
      <c r="V43" s="34">
        <f>'INPUT DATA'!J6</f>
        <v>0</v>
      </c>
      <c r="W43" s="34">
        <f>'INPUT DATA'!K6</f>
        <v>0</v>
      </c>
    </row>
    <row r="47" spans="22:23" x14ac:dyDescent="0.45">
      <c r="V47" s="35" t="s">
        <v>115</v>
      </c>
      <c r="W47" s="35">
        <f>ROUND(V24*(1-(1-(
CHOOSE(IFERROR(INDEX($W$39:$W$43,MATCH("DRY EYE DISEASE",$V$39:$V$43,0)),0)+1,1,0.95,0.85,0.7)*
CHOOSE(IFERROR(INDEX($W$39:$W$43,MATCH("MACULAR PATHOLOGY",$V$39:$V$43,0)),0)+1,1,0.9,0.75,0.55)*
CHOOSE(IFERROR(INDEX($W$39:$W$43,MATCH("DIABETIC RETINOPATHY",$V$39:$V$43,0)),0)+1,1,0.92,0.8,0.6)*
CHOOSE(IFERROR(INDEX($W$39:$W$43,MATCH("GLAUCOMA",$V$39:$V$43,0)),0)+1,1,0.93,0.82,0.65)*
CHOOSE(IFERROR(INDEX($W$39:$W$43,MATCH("CORNEAL ENDOTHELIAL DISEASE",$V$39:$V$43,0)),0)+1,1,0.9,0.72,0.5)
))*0.9),1)</f>
        <v>4.9000000000000004</v>
      </c>
    </row>
    <row r="48" spans="22:23" x14ac:dyDescent="0.45">
      <c r="V48" s="35" t="s">
        <v>116</v>
      </c>
      <c r="W48" s="35">
        <f>ROUND(V12*(1-(1-(
CHOOSE(IFERROR(INDEX($W$39:$W$43,MATCH("DRY EYE DISEASE",$V$39:$V$43,0)),0)+1,1,0.97,0.9,0.75)*
CHOOSE(IFERROR(INDEX($W$39:$W$43,MATCH("MACULAR PATHOLOGY",$V$39:$V$43,0)),0)+1,1,0.92,0.8,0.6)*
CHOOSE(IFERROR(INDEX($W$39:$W$43,MATCH("DIABETIC RETINOPATHY",$V$39:$V$43,0)),0)+1,1,0.94,0.85,0.68)*
CHOOSE(IFERROR(INDEX($W$39:$W$43,MATCH("GLAUCOMA",$V$39:$V$43,0)),0)+1,1,0.95,0.86,0.7)*
CHOOSE(IFERROR(INDEX($W$39:$W$43,MATCH("CORNEAL ENDOTHELIAL DISEASE",$V$39:$V$43,0)),0)+1,1,0.94,0.82,0.6)
))*0.9),2)</f>
        <v>1.66</v>
      </c>
    </row>
  </sheetData>
  <mergeCells count="3">
    <mergeCell ref="R1:T1"/>
    <mergeCell ref="R3:T3"/>
    <mergeCell ref="R12:T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 DATA</vt:lpstr>
      <vt:lpstr>REFRACTIVE STABILLITY</vt:lpstr>
      <vt:lpstr>PANOPTIX</vt:lpstr>
      <vt:lpstr>GEMETRIC</vt:lpstr>
      <vt:lpstr>ATLISA TRI</vt:lpstr>
      <vt:lpstr>DYSPHOTOPSIA SCORES</vt:lpstr>
      <vt:lpstr>VIVITY</vt:lpstr>
      <vt:lpstr>SPHERICAL MONOFOCAL</vt:lpstr>
      <vt:lpstr>ZERO ASPHERIC MONOFOCAL</vt:lpstr>
      <vt:lpstr>NEGATIVE ASPHERIC MONOFOCAL</vt:lpstr>
      <vt:lpstr>EYHANCE</vt:lpstr>
      <vt:lpstr>RAYNER EMV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Khatib</dc:creator>
  <cp:lastModifiedBy>Zain Khatib</cp:lastModifiedBy>
  <dcterms:created xsi:type="dcterms:W3CDTF">2026-03-22T10:42:24Z</dcterms:created>
  <dcterms:modified xsi:type="dcterms:W3CDTF">2026-04-08T15:08:04Z</dcterms:modified>
</cp:coreProperties>
</file>